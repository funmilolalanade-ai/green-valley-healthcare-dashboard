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funmi\Desktop\PORTFOLIO FOR HEALTH TECH PROJECTS\"/>
    </mc:Choice>
  </mc:AlternateContent>
  <xr:revisionPtr revIDLastSave="0" documentId="8_{2A5B542F-1FDD-44C4-AC20-766BC5C8CC6D}" xr6:coauthVersionLast="47" xr6:coauthVersionMax="47" xr10:uidLastSave="{00000000-0000-0000-0000-000000000000}"/>
  <bookViews>
    <workbookView xWindow="-110" yWindow="-110" windowWidth="19420" windowHeight="10300" activeTab="1" xr2:uid="{8C822326-666A-4312-8340-F75807F5CC7C}"/>
  </bookViews>
  <sheets>
    <sheet name="Hospital_Data " sheetId="2" r:id="rId1"/>
    <sheet name="Dashboard" sheetId="1" r:id="rId2"/>
  </sheets>
  <externalReferences>
    <externalReference r:id="rId3"/>
    <externalReference r:id="rId4"/>
  </externalReferences>
  <definedNames>
    <definedName name="_xlchart.v1.0" hidden="1">'[1]Pivot Table Analysis'!$E$59:$E$66</definedName>
    <definedName name="_xlchart.v1.1" hidden="1">'[1]Pivot Table Analysis'!$F$58</definedName>
    <definedName name="_xlchart.v1.2" hidden="1">'[1]Pivot Table Analysis'!$F$59:$F$66</definedName>
    <definedName name="_xlchart.v2.3" hidden="1">'[1]Pivot Table Analysis'!$E$50:$E$54</definedName>
    <definedName name="_xlchart.v2.4" hidden="1">'[1]Pivot Table Analysis'!$F$49</definedName>
    <definedName name="_xlchart.v2.5" hidden="1">'[1]Pivot Table Analysis'!$F$50:$F$54</definedName>
    <definedName name="_xlcn.WorksheetConnection_Green_Valley_Medical_Center_Dashboard.xlsxHospital_Data1" hidden="1">[1]!Hospital_Data[#Data]</definedName>
    <definedName name="Age_Group">'[1]Pivot Table Analysis'!$B$57:$C$65</definedName>
    <definedName name="Average_Age">'[2]Pivot Table Analysis'!$D$4</definedName>
    <definedName name="No_of_Patient">'[2]Pivot Table Analysis'!$B$4</definedName>
    <definedName name="Patient_Count">'[2]Pivot Table Analysis'!$B$4</definedName>
    <definedName name="Recovery">'[2]Pivot Table Analysis'!$F$4</definedName>
    <definedName name="Slicer_Department">#N/A</definedName>
    <definedName name="Slicer_Doctor_Name">#N/A</definedName>
    <definedName name="Slicer_Gender">#N/A</definedName>
    <definedName name="Slicer_Treatment_Type">#N/A</definedName>
    <definedName name="Stay">'[2]Pivot Table Analysis'!$E$4</definedName>
    <definedName name="Treatment_AvgRecovery">'[1]Pivot Table Analysis'!$B$47:$C$52</definedName>
    <definedName name="Treatment_Cost">'[2]Pivot Table Analysis'!$C$4</definedName>
  </definedNames>
  <calcPr calcId="191029"/>
  <extLst>
    <ext xmlns:x14="http://schemas.microsoft.com/office/spreadsheetml/2009/9/main" uri="{876F7934-8845-4945-9796-88D515C7AA90}">
      <x14:pivotCaches>
        <pivotCache cacheId="78" r:id="rId5"/>
      </x14:pivotCaches>
    </ex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Data-e75ec225-ef5d-423b-a371-626dd89225a3" name="Hospital_Data" connection="WorksheetConnection_Green_Valley_Medical_Center_Dashboard.xlsx!Hospital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401" i="2" l="1"/>
  <c r="L401" i="2"/>
  <c r="K401" i="2"/>
  <c r="J401" i="2"/>
  <c r="M400" i="2"/>
  <c r="L400" i="2"/>
  <c r="K400" i="2"/>
  <c r="J400" i="2"/>
  <c r="M399" i="2"/>
  <c r="L399" i="2"/>
  <c r="K399" i="2"/>
  <c r="J399" i="2"/>
  <c r="M398" i="2"/>
  <c r="L398" i="2"/>
  <c r="K398" i="2"/>
  <c r="J398" i="2"/>
  <c r="M397" i="2"/>
  <c r="L397" i="2"/>
  <c r="K397" i="2"/>
  <c r="J397" i="2"/>
  <c r="M396" i="2"/>
  <c r="L396" i="2"/>
  <c r="K396" i="2"/>
  <c r="J396" i="2"/>
  <c r="M395" i="2"/>
  <c r="L395" i="2"/>
  <c r="K395" i="2"/>
  <c r="J395" i="2"/>
  <c r="M394" i="2"/>
  <c r="L394" i="2"/>
  <c r="K394" i="2"/>
  <c r="J394" i="2"/>
  <c r="M393" i="2"/>
  <c r="L393" i="2"/>
  <c r="K393" i="2"/>
  <c r="J393" i="2"/>
  <c r="M392" i="2"/>
  <c r="L392" i="2"/>
  <c r="K392" i="2"/>
  <c r="J392" i="2"/>
  <c r="M391" i="2"/>
  <c r="L391" i="2"/>
  <c r="K391" i="2"/>
  <c r="J391" i="2"/>
  <c r="M390" i="2"/>
  <c r="L390" i="2"/>
  <c r="K390" i="2"/>
  <c r="J390" i="2"/>
  <c r="M389" i="2"/>
  <c r="L389" i="2"/>
  <c r="K389" i="2"/>
  <c r="J389" i="2"/>
  <c r="M388" i="2"/>
  <c r="L388" i="2"/>
  <c r="K388" i="2"/>
  <c r="J388" i="2"/>
  <c r="M387" i="2"/>
  <c r="L387" i="2"/>
  <c r="K387" i="2"/>
  <c r="J387" i="2"/>
  <c r="M386" i="2"/>
  <c r="L386" i="2"/>
  <c r="K386" i="2"/>
  <c r="J386" i="2"/>
  <c r="M385" i="2"/>
  <c r="L385" i="2"/>
  <c r="K385" i="2"/>
  <c r="J385" i="2"/>
  <c r="M384" i="2"/>
  <c r="L384" i="2"/>
  <c r="K384" i="2"/>
  <c r="J384" i="2"/>
  <c r="M383" i="2"/>
  <c r="L383" i="2"/>
  <c r="K383" i="2"/>
  <c r="J383" i="2"/>
  <c r="M382" i="2"/>
  <c r="L382" i="2"/>
  <c r="K382" i="2"/>
  <c r="J382" i="2"/>
  <c r="M381" i="2"/>
  <c r="L381" i="2"/>
  <c r="K381" i="2"/>
  <c r="J381" i="2"/>
  <c r="M380" i="2"/>
  <c r="L380" i="2"/>
  <c r="K380" i="2"/>
  <c r="J380" i="2"/>
  <c r="M379" i="2"/>
  <c r="L379" i="2"/>
  <c r="K379" i="2"/>
  <c r="J379" i="2"/>
  <c r="M378" i="2"/>
  <c r="L378" i="2"/>
  <c r="K378" i="2"/>
  <c r="J378" i="2"/>
  <c r="M377" i="2"/>
  <c r="L377" i="2"/>
  <c r="K377" i="2"/>
  <c r="J377" i="2"/>
  <c r="M376" i="2"/>
  <c r="L376" i="2"/>
  <c r="K376" i="2"/>
  <c r="J376" i="2"/>
  <c r="M375" i="2"/>
  <c r="L375" i="2"/>
  <c r="K375" i="2"/>
  <c r="J375" i="2"/>
  <c r="M374" i="2"/>
  <c r="L374" i="2"/>
  <c r="K374" i="2"/>
  <c r="J374" i="2"/>
  <c r="M373" i="2"/>
  <c r="L373" i="2"/>
  <c r="K373" i="2"/>
  <c r="J373" i="2"/>
  <c r="M372" i="2"/>
  <c r="L372" i="2"/>
  <c r="K372" i="2"/>
  <c r="J372" i="2"/>
  <c r="M371" i="2"/>
  <c r="L371" i="2"/>
  <c r="K371" i="2"/>
  <c r="J371" i="2"/>
  <c r="M370" i="2"/>
  <c r="L370" i="2"/>
  <c r="K370" i="2"/>
  <c r="J370" i="2"/>
  <c r="M369" i="2"/>
  <c r="L369" i="2"/>
  <c r="K369" i="2"/>
  <c r="J369" i="2"/>
  <c r="M368" i="2"/>
  <c r="L368" i="2"/>
  <c r="K368" i="2"/>
  <c r="J368" i="2"/>
  <c r="M367" i="2"/>
  <c r="L367" i="2"/>
  <c r="K367" i="2"/>
  <c r="J367" i="2"/>
  <c r="M366" i="2"/>
  <c r="L366" i="2"/>
  <c r="K366" i="2"/>
  <c r="J366" i="2"/>
  <c r="M365" i="2"/>
  <c r="L365" i="2"/>
  <c r="K365" i="2"/>
  <c r="J365" i="2"/>
  <c r="M364" i="2"/>
  <c r="L364" i="2"/>
  <c r="K364" i="2"/>
  <c r="J364" i="2"/>
  <c r="M363" i="2"/>
  <c r="L363" i="2"/>
  <c r="K363" i="2"/>
  <c r="J363" i="2"/>
  <c r="M362" i="2"/>
  <c r="L362" i="2"/>
  <c r="K362" i="2"/>
  <c r="J362" i="2"/>
  <c r="M361" i="2"/>
  <c r="L361" i="2"/>
  <c r="K361" i="2"/>
  <c r="J361" i="2"/>
  <c r="M360" i="2"/>
  <c r="L360" i="2"/>
  <c r="K360" i="2"/>
  <c r="J360" i="2"/>
  <c r="M359" i="2"/>
  <c r="L359" i="2"/>
  <c r="K359" i="2"/>
  <c r="J359" i="2"/>
  <c r="M358" i="2"/>
  <c r="L358" i="2"/>
  <c r="K358" i="2"/>
  <c r="J358" i="2"/>
  <c r="M357" i="2"/>
  <c r="L357" i="2"/>
  <c r="K357" i="2"/>
  <c r="J357" i="2"/>
  <c r="M356" i="2"/>
  <c r="L356" i="2"/>
  <c r="K356" i="2"/>
  <c r="J356" i="2"/>
  <c r="M355" i="2"/>
  <c r="L355" i="2"/>
  <c r="K355" i="2"/>
  <c r="J355" i="2"/>
  <c r="M354" i="2"/>
  <c r="L354" i="2"/>
  <c r="K354" i="2"/>
  <c r="J354" i="2"/>
  <c r="M353" i="2"/>
  <c r="L353" i="2"/>
  <c r="K353" i="2"/>
  <c r="J353" i="2"/>
  <c r="M352" i="2"/>
  <c r="L352" i="2"/>
  <c r="K352" i="2"/>
  <c r="J352" i="2"/>
  <c r="M351" i="2"/>
  <c r="L351" i="2"/>
  <c r="K351" i="2"/>
  <c r="J351" i="2"/>
  <c r="M350" i="2"/>
  <c r="L350" i="2"/>
  <c r="K350" i="2"/>
  <c r="J350" i="2"/>
  <c r="M349" i="2"/>
  <c r="L349" i="2"/>
  <c r="K349" i="2"/>
  <c r="J349" i="2"/>
  <c r="M348" i="2"/>
  <c r="L348" i="2"/>
  <c r="K348" i="2"/>
  <c r="J348" i="2"/>
  <c r="M347" i="2"/>
  <c r="L347" i="2"/>
  <c r="K347" i="2"/>
  <c r="J347" i="2"/>
  <c r="M346" i="2"/>
  <c r="L346" i="2"/>
  <c r="K346" i="2"/>
  <c r="J346" i="2"/>
  <c r="M345" i="2"/>
  <c r="L345" i="2"/>
  <c r="K345" i="2"/>
  <c r="J345" i="2"/>
  <c r="M344" i="2"/>
  <c r="L344" i="2"/>
  <c r="K344" i="2"/>
  <c r="J344" i="2"/>
  <c r="M343" i="2"/>
  <c r="L343" i="2"/>
  <c r="K343" i="2"/>
  <c r="J343" i="2"/>
  <c r="M342" i="2"/>
  <c r="L342" i="2"/>
  <c r="K342" i="2"/>
  <c r="J342" i="2"/>
  <c r="M341" i="2"/>
  <c r="L341" i="2"/>
  <c r="K341" i="2"/>
  <c r="J341" i="2"/>
  <c r="M340" i="2"/>
  <c r="L340" i="2"/>
  <c r="K340" i="2"/>
  <c r="J340" i="2"/>
  <c r="M339" i="2"/>
  <c r="L339" i="2"/>
  <c r="K339" i="2"/>
  <c r="J339" i="2"/>
  <c r="M338" i="2"/>
  <c r="L338" i="2"/>
  <c r="K338" i="2"/>
  <c r="J338" i="2"/>
  <c r="M337" i="2"/>
  <c r="L337" i="2"/>
  <c r="K337" i="2"/>
  <c r="J337" i="2"/>
  <c r="M336" i="2"/>
  <c r="L336" i="2"/>
  <c r="K336" i="2"/>
  <c r="J336" i="2"/>
  <c r="M335" i="2"/>
  <c r="L335" i="2"/>
  <c r="K335" i="2"/>
  <c r="J335" i="2"/>
  <c r="M334" i="2"/>
  <c r="L334" i="2"/>
  <c r="K334" i="2"/>
  <c r="J334" i="2"/>
  <c r="M333" i="2"/>
  <c r="L333" i="2"/>
  <c r="K333" i="2"/>
  <c r="J333" i="2"/>
  <c r="M332" i="2"/>
  <c r="L332" i="2"/>
  <c r="K332" i="2"/>
  <c r="J332" i="2"/>
  <c r="M331" i="2"/>
  <c r="L331" i="2"/>
  <c r="K331" i="2"/>
  <c r="J331" i="2"/>
  <c r="M330" i="2"/>
  <c r="L330" i="2"/>
  <c r="K330" i="2"/>
  <c r="J330" i="2"/>
  <c r="M329" i="2"/>
  <c r="L329" i="2"/>
  <c r="K329" i="2"/>
  <c r="J329" i="2"/>
  <c r="M328" i="2"/>
  <c r="L328" i="2"/>
  <c r="K328" i="2"/>
  <c r="J328" i="2"/>
  <c r="M327" i="2"/>
  <c r="L327" i="2"/>
  <c r="K327" i="2"/>
  <c r="J327" i="2"/>
  <c r="M326" i="2"/>
  <c r="L326" i="2"/>
  <c r="K326" i="2"/>
  <c r="J326" i="2"/>
  <c r="M325" i="2"/>
  <c r="L325" i="2"/>
  <c r="K325" i="2"/>
  <c r="J325" i="2"/>
  <c r="M324" i="2"/>
  <c r="L324" i="2"/>
  <c r="K324" i="2"/>
  <c r="J324" i="2"/>
  <c r="M323" i="2"/>
  <c r="L323" i="2"/>
  <c r="K323" i="2"/>
  <c r="J323" i="2"/>
  <c r="M322" i="2"/>
  <c r="L322" i="2"/>
  <c r="K322" i="2"/>
  <c r="J322" i="2"/>
  <c r="M321" i="2"/>
  <c r="L321" i="2"/>
  <c r="K321" i="2"/>
  <c r="J321" i="2"/>
  <c r="M320" i="2"/>
  <c r="L320" i="2"/>
  <c r="K320" i="2"/>
  <c r="J320" i="2"/>
  <c r="M319" i="2"/>
  <c r="L319" i="2"/>
  <c r="K319" i="2"/>
  <c r="J319" i="2"/>
  <c r="M318" i="2"/>
  <c r="L318" i="2"/>
  <c r="K318" i="2"/>
  <c r="J318" i="2"/>
  <c r="M317" i="2"/>
  <c r="L317" i="2"/>
  <c r="K317" i="2"/>
  <c r="J317" i="2"/>
  <c r="M316" i="2"/>
  <c r="L316" i="2"/>
  <c r="K316" i="2"/>
  <c r="J316" i="2"/>
  <c r="M315" i="2"/>
  <c r="L315" i="2"/>
  <c r="K315" i="2"/>
  <c r="J315" i="2"/>
  <c r="M314" i="2"/>
  <c r="L314" i="2"/>
  <c r="K314" i="2"/>
  <c r="J314" i="2"/>
  <c r="M313" i="2"/>
  <c r="L313" i="2"/>
  <c r="K313" i="2"/>
  <c r="J313" i="2"/>
  <c r="M312" i="2"/>
  <c r="L312" i="2"/>
  <c r="K312" i="2"/>
  <c r="J312" i="2"/>
  <c r="M311" i="2"/>
  <c r="L311" i="2"/>
  <c r="K311" i="2"/>
  <c r="J311" i="2"/>
  <c r="M310" i="2"/>
  <c r="L310" i="2"/>
  <c r="K310" i="2"/>
  <c r="J310" i="2"/>
  <c r="M309" i="2"/>
  <c r="L309" i="2"/>
  <c r="K309" i="2"/>
  <c r="J309" i="2"/>
  <c r="M308" i="2"/>
  <c r="L308" i="2"/>
  <c r="K308" i="2"/>
  <c r="J308" i="2"/>
  <c r="M307" i="2"/>
  <c r="L307" i="2"/>
  <c r="K307" i="2"/>
  <c r="J307" i="2"/>
  <c r="M306" i="2"/>
  <c r="L306" i="2"/>
  <c r="K306" i="2"/>
  <c r="J306" i="2"/>
  <c r="M305" i="2"/>
  <c r="L305" i="2"/>
  <c r="K305" i="2"/>
  <c r="J305" i="2"/>
  <c r="M304" i="2"/>
  <c r="L304" i="2"/>
  <c r="K304" i="2"/>
  <c r="J304" i="2"/>
  <c r="M303" i="2"/>
  <c r="L303" i="2"/>
  <c r="K303" i="2"/>
  <c r="J303" i="2"/>
  <c r="M302" i="2"/>
  <c r="L302" i="2"/>
  <c r="K302" i="2"/>
  <c r="J302" i="2"/>
  <c r="M301" i="2"/>
  <c r="L301" i="2"/>
  <c r="K301" i="2"/>
  <c r="J301" i="2"/>
  <c r="M300" i="2"/>
  <c r="L300" i="2"/>
  <c r="K300" i="2"/>
  <c r="J300" i="2"/>
  <c r="M299" i="2"/>
  <c r="L299" i="2"/>
  <c r="K299" i="2"/>
  <c r="J299" i="2"/>
  <c r="M298" i="2"/>
  <c r="L298" i="2"/>
  <c r="K298" i="2"/>
  <c r="J298" i="2"/>
  <c r="M297" i="2"/>
  <c r="L297" i="2"/>
  <c r="K297" i="2"/>
  <c r="J297" i="2"/>
  <c r="M296" i="2"/>
  <c r="L296" i="2"/>
  <c r="K296" i="2"/>
  <c r="J296" i="2"/>
  <c r="M295" i="2"/>
  <c r="L295" i="2"/>
  <c r="K295" i="2"/>
  <c r="J295" i="2"/>
  <c r="M294" i="2"/>
  <c r="L294" i="2"/>
  <c r="K294" i="2"/>
  <c r="J294" i="2"/>
  <c r="M293" i="2"/>
  <c r="L293" i="2"/>
  <c r="K293" i="2"/>
  <c r="J293" i="2"/>
  <c r="M292" i="2"/>
  <c r="L292" i="2"/>
  <c r="K292" i="2"/>
  <c r="J292" i="2"/>
  <c r="M291" i="2"/>
  <c r="L291" i="2"/>
  <c r="K291" i="2"/>
  <c r="J291" i="2"/>
  <c r="M290" i="2"/>
  <c r="L290" i="2"/>
  <c r="K290" i="2"/>
  <c r="J290" i="2"/>
  <c r="M289" i="2"/>
  <c r="L289" i="2"/>
  <c r="K289" i="2"/>
  <c r="J289" i="2"/>
  <c r="M288" i="2"/>
  <c r="L288" i="2"/>
  <c r="K288" i="2"/>
  <c r="J288" i="2"/>
  <c r="M287" i="2"/>
  <c r="L287" i="2"/>
  <c r="K287" i="2"/>
  <c r="J287" i="2"/>
  <c r="M286" i="2"/>
  <c r="L286" i="2"/>
  <c r="K286" i="2"/>
  <c r="J286" i="2"/>
  <c r="M285" i="2"/>
  <c r="L285" i="2"/>
  <c r="K285" i="2"/>
  <c r="J285" i="2"/>
  <c r="M284" i="2"/>
  <c r="L284" i="2"/>
  <c r="K284" i="2"/>
  <c r="J284" i="2"/>
  <c r="M283" i="2"/>
  <c r="L283" i="2"/>
  <c r="K283" i="2"/>
  <c r="J283" i="2"/>
  <c r="M282" i="2"/>
  <c r="L282" i="2"/>
  <c r="K282" i="2"/>
  <c r="J282" i="2"/>
  <c r="M281" i="2"/>
  <c r="L281" i="2"/>
  <c r="K281" i="2"/>
  <c r="J281" i="2"/>
  <c r="M280" i="2"/>
  <c r="L280" i="2"/>
  <c r="K280" i="2"/>
  <c r="J280" i="2"/>
  <c r="M279" i="2"/>
  <c r="L279" i="2"/>
  <c r="K279" i="2"/>
  <c r="J279" i="2"/>
  <c r="M278" i="2"/>
  <c r="L278" i="2"/>
  <c r="K278" i="2"/>
  <c r="J278" i="2"/>
  <c r="M277" i="2"/>
  <c r="L277" i="2"/>
  <c r="K277" i="2"/>
  <c r="J277" i="2"/>
  <c r="M276" i="2"/>
  <c r="L276" i="2"/>
  <c r="K276" i="2"/>
  <c r="J276" i="2"/>
  <c r="M275" i="2"/>
  <c r="L275" i="2"/>
  <c r="K275" i="2"/>
  <c r="J275" i="2"/>
  <c r="M274" i="2"/>
  <c r="L274" i="2"/>
  <c r="K274" i="2"/>
  <c r="J274" i="2"/>
  <c r="M273" i="2"/>
  <c r="L273" i="2"/>
  <c r="K273" i="2"/>
  <c r="J273" i="2"/>
  <c r="M272" i="2"/>
  <c r="L272" i="2"/>
  <c r="K272" i="2"/>
  <c r="J272" i="2"/>
  <c r="M271" i="2"/>
  <c r="L271" i="2"/>
  <c r="K271" i="2"/>
  <c r="J271" i="2"/>
  <c r="M270" i="2"/>
  <c r="L270" i="2"/>
  <c r="K270" i="2"/>
  <c r="J270" i="2"/>
  <c r="M269" i="2"/>
  <c r="L269" i="2"/>
  <c r="K269" i="2"/>
  <c r="J269" i="2"/>
  <c r="M268" i="2"/>
  <c r="L268" i="2"/>
  <c r="K268" i="2"/>
  <c r="J268" i="2"/>
  <c r="M267" i="2"/>
  <c r="L267" i="2"/>
  <c r="K267" i="2"/>
  <c r="J267" i="2"/>
  <c r="M266" i="2"/>
  <c r="L266" i="2"/>
  <c r="K266" i="2"/>
  <c r="J266" i="2"/>
  <c r="M265" i="2"/>
  <c r="L265" i="2"/>
  <c r="K265" i="2"/>
  <c r="J265" i="2"/>
  <c r="M264" i="2"/>
  <c r="L264" i="2"/>
  <c r="K264" i="2"/>
  <c r="J264" i="2"/>
  <c r="M263" i="2"/>
  <c r="L263" i="2"/>
  <c r="K263" i="2"/>
  <c r="J263" i="2"/>
  <c r="M262" i="2"/>
  <c r="L262" i="2"/>
  <c r="K262" i="2"/>
  <c r="J262" i="2"/>
  <c r="M261" i="2"/>
  <c r="L261" i="2"/>
  <c r="K261" i="2"/>
  <c r="J261" i="2"/>
  <c r="M260" i="2"/>
  <c r="L260" i="2"/>
  <c r="K260" i="2"/>
  <c r="J260" i="2"/>
  <c r="M259" i="2"/>
  <c r="L259" i="2"/>
  <c r="K259" i="2"/>
  <c r="J259" i="2"/>
  <c r="M258" i="2"/>
  <c r="L258" i="2"/>
  <c r="K258" i="2"/>
  <c r="J258" i="2"/>
  <c r="M257" i="2"/>
  <c r="L257" i="2"/>
  <c r="K257" i="2"/>
  <c r="J257" i="2"/>
  <c r="M256" i="2"/>
  <c r="L256" i="2"/>
  <c r="K256" i="2"/>
  <c r="J256" i="2"/>
  <c r="M255" i="2"/>
  <c r="L255" i="2"/>
  <c r="K255" i="2"/>
  <c r="J255" i="2"/>
  <c r="M254" i="2"/>
  <c r="L254" i="2"/>
  <c r="K254" i="2"/>
  <c r="J254" i="2"/>
  <c r="M253" i="2"/>
  <c r="L253" i="2"/>
  <c r="K253" i="2"/>
  <c r="J253" i="2"/>
  <c r="M252" i="2"/>
  <c r="L252" i="2"/>
  <c r="K252" i="2"/>
  <c r="J252" i="2"/>
  <c r="M251" i="2"/>
  <c r="L251" i="2"/>
  <c r="K251" i="2"/>
  <c r="J251" i="2"/>
  <c r="M250" i="2"/>
  <c r="L250" i="2"/>
  <c r="K250" i="2"/>
  <c r="J250" i="2"/>
  <c r="M249" i="2"/>
  <c r="L249" i="2"/>
  <c r="K249" i="2"/>
  <c r="J249" i="2"/>
  <c r="M248" i="2"/>
  <c r="L248" i="2"/>
  <c r="K248" i="2"/>
  <c r="J248" i="2"/>
  <c r="M247" i="2"/>
  <c r="L247" i="2"/>
  <c r="K247" i="2"/>
  <c r="J247" i="2"/>
  <c r="M246" i="2"/>
  <c r="L246" i="2"/>
  <c r="K246" i="2"/>
  <c r="J246" i="2"/>
  <c r="M245" i="2"/>
  <c r="L245" i="2"/>
  <c r="K245" i="2"/>
  <c r="J245" i="2"/>
  <c r="M244" i="2"/>
  <c r="L244" i="2"/>
  <c r="K244" i="2"/>
  <c r="J244" i="2"/>
  <c r="M243" i="2"/>
  <c r="L243" i="2"/>
  <c r="K243" i="2"/>
  <c r="J243" i="2"/>
  <c r="M242" i="2"/>
  <c r="L242" i="2"/>
  <c r="K242" i="2"/>
  <c r="J242" i="2"/>
  <c r="M241" i="2"/>
  <c r="L241" i="2"/>
  <c r="K241" i="2"/>
  <c r="J241" i="2"/>
  <c r="M240" i="2"/>
  <c r="L240" i="2"/>
  <c r="K240" i="2"/>
  <c r="J240" i="2"/>
  <c r="M239" i="2"/>
  <c r="L239" i="2"/>
  <c r="K239" i="2"/>
  <c r="J239" i="2"/>
  <c r="M238" i="2"/>
  <c r="L238" i="2"/>
  <c r="K238" i="2"/>
  <c r="J238" i="2"/>
  <c r="M237" i="2"/>
  <c r="L237" i="2"/>
  <c r="K237" i="2"/>
  <c r="J237" i="2"/>
  <c r="M236" i="2"/>
  <c r="L236" i="2"/>
  <c r="K236" i="2"/>
  <c r="J236" i="2"/>
  <c r="M235" i="2"/>
  <c r="L235" i="2"/>
  <c r="K235" i="2"/>
  <c r="J235" i="2"/>
  <c r="M234" i="2"/>
  <c r="L234" i="2"/>
  <c r="K234" i="2"/>
  <c r="J234" i="2"/>
  <c r="M233" i="2"/>
  <c r="L233" i="2"/>
  <c r="K233" i="2"/>
  <c r="J233" i="2"/>
  <c r="M232" i="2"/>
  <c r="L232" i="2"/>
  <c r="K232" i="2"/>
  <c r="J232" i="2"/>
  <c r="M231" i="2"/>
  <c r="L231" i="2"/>
  <c r="K231" i="2"/>
  <c r="J231" i="2"/>
  <c r="M230" i="2"/>
  <c r="L230" i="2"/>
  <c r="K230" i="2"/>
  <c r="J230" i="2"/>
  <c r="M229" i="2"/>
  <c r="L229" i="2"/>
  <c r="K229" i="2"/>
  <c r="J229" i="2"/>
  <c r="M228" i="2"/>
  <c r="L228" i="2"/>
  <c r="K228" i="2"/>
  <c r="J228" i="2"/>
  <c r="M227" i="2"/>
  <c r="L227" i="2"/>
  <c r="K227" i="2"/>
  <c r="J227" i="2"/>
  <c r="M226" i="2"/>
  <c r="L226" i="2"/>
  <c r="K226" i="2"/>
  <c r="J226" i="2"/>
  <c r="M225" i="2"/>
  <c r="L225" i="2"/>
  <c r="K225" i="2"/>
  <c r="J225" i="2"/>
  <c r="M224" i="2"/>
  <c r="L224" i="2"/>
  <c r="K224" i="2"/>
  <c r="J224" i="2"/>
  <c r="M223" i="2"/>
  <c r="L223" i="2"/>
  <c r="K223" i="2"/>
  <c r="J223" i="2"/>
  <c r="M222" i="2"/>
  <c r="L222" i="2"/>
  <c r="K222" i="2"/>
  <c r="J222" i="2"/>
  <c r="M221" i="2"/>
  <c r="L221" i="2"/>
  <c r="K221" i="2"/>
  <c r="J221" i="2"/>
  <c r="M220" i="2"/>
  <c r="L220" i="2"/>
  <c r="K220" i="2"/>
  <c r="J220" i="2"/>
  <c r="M219" i="2"/>
  <c r="L219" i="2"/>
  <c r="K219" i="2"/>
  <c r="J219" i="2"/>
  <c r="M218" i="2"/>
  <c r="L218" i="2"/>
  <c r="K218" i="2"/>
  <c r="J218" i="2"/>
  <c r="M217" i="2"/>
  <c r="L217" i="2"/>
  <c r="K217" i="2"/>
  <c r="J217" i="2"/>
  <c r="M216" i="2"/>
  <c r="L216" i="2"/>
  <c r="K216" i="2"/>
  <c r="J216" i="2"/>
  <c r="M215" i="2"/>
  <c r="L215" i="2"/>
  <c r="K215" i="2"/>
  <c r="J215" i="2"/>
  <c r="M214" i="2"/>
  <c r="L214" i="2"/>
  <c r="K214" i="2"/>
  <c r="J214" i="2"/>
  <c r="M213" i="2"/>
  <c r="L213" i="2"/>
  <c r="K213" i="2"/>
  <c r="J213" i="2"/>
  <c r="M212" i="2"/>
  <c r="L212" i="2"/>
  <c r="K212" i="2"/>
  <c r="J212" i="2"/>
  <c r="M211" i="2"/>
  <c r="L211" i="2"/>
  <c r="K211" i="2"/>
  <c r="J211" i="2"/>
  <c r="M210" i="2"/>
  <c r="L210" i="2"/>
  <c r="K210" i="2"/>
  <c r="J210" i="2"/>
  <c r="M209" i="2"/>
  <c r="L209" i="2"/>
  <c r="K209" i="2"/>
  <c r="J209" i="2"/>
  <c r="M208" i="2"/>
  <c r="L208" i="2"/>
  <c r="K208" i="2"/>
  <c r="J208" i="2"/>
  <c r="M207" i="2"/>
  <c r="L207" i="2"/>
  <c r="K207" i="2"/>
  <c r="J207" i="2"/>
  <c r="M206" i="2"/>
  <c r="L206" i="2"/>
  <c r="K206" i="2"/>
  <c r="J206" i="2"/>
  <c r="M205" i="2"/>
  <c r="L205" i="2"/>
  <c r="K205" i="2"/>
  <c r="J205" i="2"/>
  <c r="M204" i="2"/>
  <c r="L204" i="2"/>
  <c r="K204" i="2"/>
  <c r="J204" i="2"/>
  <c r="M203" i="2"/>
  <c r="L203" i="2"/>
  <c r="K203" i="2"/>
  <c r="J203" i="2"/>
  <c r="M202" i="2"/>
  <c r="L202" i="2"/>
  <c r="K202" i="2"/>
  <c r="J202" i="2"/>
  <c r="M201" i="2"/>
  <c r="L201" i="2"/>
  <c r="K201" i="2"/>
  <c r="J201" i="2"/>
  <c r="M200" i="2"/>
  <c r="L200" i="2"/>
  <c r="K200" i="2"/>
  <c r="J200" i="2"/>
  <c r="M199" i="2"/>
  <c r="L199" i="2"/>
  <c r="K199" i="2"/>
  <c r="J199" i="2"/>
  <c r="M198" i="2"/>
  <c r="L198" i="2"/>
  <c r="K198" i="2"/>
  <c r="J198" i="2"/>
  <c r="M197" i="2"/>
  <c r="L197" i="2"/>
  <c r="K197" i="2"/>
  <c r="J197" i="2"/>
  <c r="M196" i="2"/>
  <c r="L196" i="2"/>
  <c r="K196" i="2"/>
  <c r="J196" i="2"/>
  <c r="M195" i="2"/>
  <c r="L195" i="2"/>
  <c r="K195" i="2"/>
  <c r="J195" i="2"/>
  <c r="M194" i="2"/>
  <c r="L194" i="2"/>
  <c r="K194" i="2"/>
  <c r="J194" i="2"/>
  <c r="M193" i="2"/>
  <c r="L193" i="2"/>
  <c r="K193" i="2"/>
  <c r="J193" i="2"/>
  <c r="M192" i="2"/>
  <c r="L192" i="2"/>
  <c r="K192" i="2"/>
  <c r="J192" i="2"/>
  <c r="M191" i="2"/>
  <c r="L191" i="2"/>
  <c r="K191" i="2"/>
  <c r="J191" i="2"/>
  <c r="M190" i="2"/>
  <c r="L190" i="2"/>
  <c r="K190" i="2"/>
  <c r="J190" i="2"/>
  <c r="M189" i="2"/>
  <c r="L189" i="2"/>
  <c r="K189" i="2"/>
  <c r="J189" i="2"/>
  <c r="M188" i="2"/>
  <c r="L188" i="2"/>
  <c r="K188" i="2"/>
  <c r="J188" i="2"/>
  <c r="M187" i="2"/>
  <c r="L187" i="2"/>
  <c r="K187" i="2"/>
  <c r="J187" i="2"/>
  <c r="M186" i="2"/>
  <c r="L186" i="2"/>
  <c r="K186" i="2"/>
  <c r="J186" i="2"/>
  <c r="M185" i="2"/>
  <c r="L185" i="2"/>
  <c r="K185" i="2"/>
  <c r="J185" i="2"/>
  <c r="M184" i="2"/>
  <c r="L184" i="2"/>
  <c r="K184" i="2"/>
  <c r="J184" i="2"/>
  <c r="M183" i="2"/>
  <c r="L183" i="2"/>
  <c r="K183" i="2"/>
  <c r="J183" i="2"/>
  <c r="M182" i="2"/>
  <c r="L182" i="2"/>
  <c r="K182" i="2"/>
  <c r="J182" i="2"/>
  <c r="M181" i="2"/>
  <c r="L181" i="2"/>
  <c r="K181" i="2"/>
  <c r="J181" i="2"/>
  <c r="M180" i="2"/>
  <c r="L180" i="2"/>
  <c r="K180" i="2"/>
  <c r="J180" i="2"/>
  <c r="M179" i="2"/>
  <c r="L179" i="2"/>
  <c r="K179" i="2"/>
  <c r="J179" i="2"/>
  <c r="M178" i="2"/>
  <c r="L178" i="2"/>
  <c r="K178" i="2"/>
  <c r="J178" i="2"/>
  <c r="M177" i="2"/>
  <c r="L177" i="2"/>
  <c r="K177" i="2"/>
  <c r="J177" i="2"/>
  <c r="M176" i="2"/>
  <c r="L176" i="2"/>
  <c r="K176" i="2"/>
  <c r="J176" i="2"/>
  <c r="M175" i="2"/>
  <c r="L175" i="2"/>
  <c r="K175" i="2"/>
  <c r="J175" i="2"/>
  <c r="M174" i="2"/>
  <c r="L174" i="2"/>
  <c r="K174" i="2"/>
  <c r="J174" i="2"/>
  <c r="M173" i="2"/>
  <c r="L173" i="2"/>
  <c r="K173" i="2"/>
  <c r="J173" i="2"/>
  <c r="M172" i="2"/>
  <c r="L172" i="2"/>
  <c r="K172" i="2"/>
  <c r="J172" i="2"/>
  <c r="M171" i="2"/>
  <c r="L171" i="2"/>
  <c r="K171" i="2"/>
  <c r="J171" i="2"/>
  <c r="M170" i="2"/>
  <c r="L170" i="2"/>
  <c r="K170" i="2"/>
  <c r="J170" i="2"/>
  <c r="M169" i="2"/>
  <c r="L169" i="2"/>
  <c r="K169" i="2"/>
  <c r="J169" i="2"/>
  <c r="M168" i="2"/>
  <c r="L168" i="2"/>
  <c r="K168" i="2"/>
  <c r="J168" i="2"/>
  <c r="M167" i="2"/>
  <c r="L167" i="2"/>
  <c r="K167" i="2"/>
  <c r="J167" i="2"/>
  <c r="M166" i="2"/>
  <c r="L166" i="2"/>
  <c r="K166" i="2"/>
  <c r="J166" i="2"/>
  <c r="M165" i="2"/>
  <c r="L165" i="2"/>
  <c r="K165" i="2"/>
  <c r="J165" i="2"/>
  <c r="M164" i="2"/>
  <c r="L164" i="2"/>
  <c r="K164" i="2"/>
  <c r="J164" i="2"/>
  <c r="M163" i="2"/>
  <c r="L163" i="2"/>
  <c r="K163" i="2"/>
  <c r="J163" i="2"/>
  <c r="M162" i="2"/>
  <c r="L162" i="2"/>
  <c r="K162" i="2"/>
  <c r="J162" i="2"/>
  <c r="M161" i="2"/>
  <c r="L161" i="2"/>
  <c r="K161" i="2"/>
  <c r="J161" i="2"/>
  <c r="M160" i="2"/>
  <c r="L160" i="2"/>
  <c r="K160" i="2"/>
  <c r="J160" i="2"/>
  <c r="M159" i="2"/>
  <c r="L159" i="2"/>
  <c r="K159" i="2"/>
  <c r="J159" i="2"/>
  <c r="M158" i="2"/>
  <c r="L158" i="2"/>
  <c r="K158" i="2"/>
  <c r="J158" i="2"/>
  <c r="M157" i="2"/>
  <c r="L157" i="2"/>
  <c r="K157" i="2"/>
  <c r="J157" i="2"/>
  <c r="M156" i="2"/>
  <c r="L156" i="2"/>
  <c r="K156" i="2"/>
  <c r="J156" i="2"/>
  <c r="M155" i="2"/>
  <c r="L155" i="2"/>
  <c r="K155" i="2"/>
  <c r="J155" i="2"/>
  <c r="M154" i="2"/>
  <c r="L154" i="2"/>
  <c r="K154" i="2"/>
  <c r="J154" i="2"/>
  <c r="M153" i="2"/>
  <c r="L153" i="2"/>
  <c r="K153" i="2"/>
  <c r="J153" i="2"/>
  <c r="M152" i="2"/>
  <c r="L152" i="2"/>
  <c r="K152" i="2"/>
  <c r="J152" i="2"/>
  <c r="M151" i="2"/>
  <c r="L151" i="2"/>
  <c r="K151" i="2"/>
  <c r="J151" i="2"/>
  <c r="M150" i="2"/>
  <c r="L150" i="2"/>
  <c r="K150" i="2"/>
  <c r="J150" i="2"/>
  <c r="M149" i="2"/>
  <c r="L149" i="2"/>
  <c r="K149" i="2"/>
  <c r="J149" i="2"/>
  <c r="M148" i="2"/>
  <c r="L148" i="2"/>
  <c r="K148" i="2"/>
  <c r="J148" i="2"/>
  <c r="M147" i="2"/>
  <c r="L147" i="2"/>
  <c r="K147" i="2"/>
  <c r="J147" i="2"/>
  <c r="M146" i="2"/>
  <c r="L146" i="2"/>
  <c r="K146" i="2"/>
  <c r="J146" i="2"/>
  <c r="M145" i="2"/>
  <c r="L145" i="2"/>
  <c r="K145" i="2"/>
  <c r="J145" i="2"/>
  <c r="M144" i="2"/>
  <c r="L144" i="2"/>
  <c r="K144" i="2"/>
  <c r="J144" i="2"/>
  <c r="M143" i="2"/>
  <c r="L143" i="2"/>
  <c r="K143" i="2"/>
  <c r="J143" i="2"/>
  <c r="M142" i="2"/>
  <c r="L142" i="2"/>
  <c r="K142" i="2"/>
  <c r="J142" i="2"/>
  <c r="M141" i="2"/>
  <c r="L141" i="2"/>
  <c r="K141" i="2"/>
  <c r="J141" i="2"/>
  <c r="M140" i="2"/>
  <c r="L140" i="2"/>
  <c r="K140" i="2"/>
  <c r="J140" i="2"/>
  <c r="M139" i="2"/>
  <c r="L139" i="2"/>
  <c r="K139" i="2"/>
  <c r="J139" i="2"/>
  <c r="M138" i="2"/>
  <c r="L138" i="2"/>
  <c r="K138" i="2"/>
  <c r="J138" i="2"/>
  <c r="M137" i="2"/>
  <c r="L137" i="2"/>
  <c r="K137" i="2"/>
  <c r="J137" i="2"/>
  <c r="M136" i="2"/>
  <c r="L136" i="2"/>
  <c r="K136" i="2"/>
  <c r="J136" i="2"/>
  <c r="M135" i="2"/>
  <c r="L135" i="2"/>
  <c r="K135" i="2"/>
  <c r="J135" i="2"/>
  <c r="M134" i="2"/>
  <c r="L134" i="2"/>
  <c r="K134" i="2"/>
  <c r="J134" i="2"/>
  <c r="M133" i="2"/>
  <c r="L133" i="2"/>
  <c r="K133" i="2"/>
  <c r="J133" i="2"/>
  <c r="M132" i="2"/>
  <c r="L132" i="2"/>
  <c r="K132" i="2"/>
  <c r="J132" i="2"/>
  <c r="M131" i="2"/>
  <c r="L131" i="2"/>
  <c r="K131" i="2"/>
  <c r="J131" i="2"/>
  <c r="M130" i="2"/>
  <c r="L130" i="2"/>
  <c r="K130" i="2"/>
  <c r="J130" i="2"/>
  <c r="M129" i="2"/>
  <c r="L129" i="2"/>
  <c r="K129" i="2"/>
  <c r="J129" i="2"/>
  <c r="M128" i="2"/>
  <c r="L128" i="2"/>
  <c r="K128" i="2"/>
  <c r="J128" i="2"/>
  <c r="M127" i="2"/>
  <c r="L127" i="2"/>
  <c r="K127" i="2"/>
  <c r="J127" i="2"/>
  <c r="M126" i="2"/>
  <c r="L126" i="2"/>
  <c r="K126" i="2"/>
  <c r="J126" i="2"/>
  <c r="M125" i="2"/>
  <c r="L125" i="2"/>
  <c r="K125" i="2"/>
  <c r="J125" i="2"/>
  <c r="M124" i="2"/>
  <c r="L124" i="2"/>
  <c r="K124" i="2"/>
  <c r="J124" i="2"/>
  <c r="M123" i="2"/>
  <c r="L123" i="2"/>
  <c r="K123" i="2"/>
  <c r="J123" i="2"/>
  <c r="M122" i="2"/>
  <c r="L122" i="2"/>
  <c r="K122" i="2"/>
  <c r="J122" i="2"/>
  <c r="M121" i="2"/>
  <c r="L121" i="2"/>
  <c r="K121" i="2"/>
  <c r="J121" i="2"/>
  <c r="M120" i="2"/>
  <c r="L120" i="2"/>
  <c r="K120" i="2"/>
  <c r="J120" i="2"/>
  <c r="M119" i="2"/>
  <c r="L119" i="2"/>
  <c r="K119" i="2"/>
  <c r="J119" i="2"/>
  <c r="M118" i="2"/>
  <c r="L118" i="2"/>
  <c r="K118" i="2"/>
  <c r="J118" i="2"/>
  <c r="M117" i="2"/>
  <c r="L117" i="2"/>
  <c r="K117" i="2"/>
  <c r="J117" i="2"/>
  <c r="M116" i="2"/>
  <c r="L116" i="2"/>
  <c r="K116" i="2"/>
  <c r="J116" i="2"/>
  <c r="M115" i="2"/>
  <c r="L115" i="2"/>
  <c r="K115" i="2"/>
  <c r="J115" i="2"/>
  <c r="M114" i="2"/>
  <c r="L114" i="2"/>
  <c r="K114" i="2"/>
  <c r="J114" i="2"/>
  <c r="M113" i="2"/>
  <c r="L113" i="2"/>
  <c r="K113" i="2"/>
  <c r="J113" i="2"/>
  <c r="M112" i="2"/>
  <c r="L112" i="2"/>
  <c r="K112" i="2"/>
  <c r="J112" i="2"/>
  <c r="M111" i="2"/>
  <c r="L111" i="2"/>
  <c r="K111" i="2"/>
  <c r="J111" i="2"/>
  <c r="M110" i="2"/>
  <c r="L110" i="2"/>
  <c r="K110" i="2"/>
  <c r="J110" i="2"/>
  <c r="M109" i="2"/>
  <c r="L109" i="2"/>
  <c r="K109" i="2"/>
  <c r="J109" i="2"/>
  <c r="M108" i="2"/>
  <c r="L108" i="2"/>
  <c r="K108" i="2"/>
  <c r="J108" i="2"/>
  <c r="M107" i="2"/>
  <c r="L107" i="2"/>
  <c r="K107" i="2"/>
  <c r="J107" i="2"/>
  <c r="M106" i="2"/>
  <c r="L106" i="2"/>
  <c r="K106" i="2"/>
  <c r="J106" i="2"/>
  <c r="M105" i="2"/>
  <c r="L105" i="2"/>
  <c r="K105" i="2"/>
  <c r="J105" i="2"/>
  <c r="M104" i="2"/>
  <c r="L104" i="2"/>
  <c r="K104" i="2"/>
  <c r="J104" i="2"/>
  <c r="M103" i="2"/>
  <c r="L103" i="2"/>
  <c r="K103" i="2"/>
  <c r="J103" i="2"/>
  <c r="M102" i="2"/>
  <c r="L102" i="2"/>
  <c r="K102" i="2"/>
  <c r="J102" i="2"/>
  <c r="M101" i="2"/>
  <c r="L101" i="2"/>
  <c r="K101" i="2"/>
  <c r="J101" i="2"/>
  <c r="M100" i="2"/>
  <c r="L100" i="2"/>
  <c r="K100" i="2"/>
  <c r="J100" i="2"/>
  <c r="M99" i="2"/>
  <c r="L99" i="2"/>
  <c r="K99" i="2"/>
  <c r="J99" i="2"/>
  <c r="M98" i="2"/>
  <c r="L98" i="2"/>
  <c r="K98" i="2"/>
  <c r="J98" i="2"/>
  <c r="M97" i="2"/>
  <c r="L97" i="2"/>
  <c r="K97" i="2"/>
  <c r="J97" i="2"/>
  <c r="M96" i="2"/>
  <c r="L96" i="2"/>
  <c r="K96" i="2"/>
  <c r="J96" i="2"/>
  <c r="M95" i="2"/>
  <c r="L95" i="2"/>
  <c r="K95" i="2"/>
  <c r="J95" i="2"/>
  <c r="M94" i="2"/>
  <c r="L94" i="2"/>
  <c r="K94" i="2"/>
  <c r="J94" i="2"/>
  <c r="M93" i="2"/>
  <c r="L93" i="2"/>
  <c r="K93" i="2"/>
  <c r="J93" i="2"/>
  <c r="M92" i="2"/>
  <c r="L92" i="2"/>
  <c r="K92" i="2"/>
  <c r="J92" i="2"/>
  <c r="M91" i="2"/>
  <c r="L91" i="2"/>
  <c r="K91" i="2"/>
  <c r="J91" i="2"/>
  <c r="M90" i="2"/>
  <c r="L90" i="2"/>
  <c r="K90" i="2"/>
  <c r="J90" i="2"/>
  <c r="M89" i="2"/>
  <c r="L89" i="2"/>
  <c r="K89" i="2"/>
  <c r="J89" i="2"/>
  <c r="M88" i="2"/>
  <c r="L88" i="2"/>
  <c r="K88" i="2"/>
  <c r="J88" i="2"/>
  <c r="M87" i="2"/>
  <c r="L87" i="2"/>
  <c r="K87" i="2"/>
  <c r="J87" i="2"/>
  <c r="M86" i="2"/>
  <c r="L86" i="2"/>
  <c r="K86" i="2"/>
  <c r="J86" i="2"/>
  <c r="M85" i="2"/>
  <c r="L85" i="2"/>
  <c r="K85" i="2"/>
  <c r="J85" i="2"/>
  <c r="M84" i="2"/>
  <c r="L84" i="2"/>
  <c r="K84" i="2"/>
  <c r="J84" i="2"/>
  <c r="M83" i="2"/>
  <c r="L83" i="2"/>
  <c r="K83" i="2"/>
  <c r="J83" i="2"/>
  <c r="M82" i="2"/>
  <c r="L82" i="2"/>
  <c r="K82" i="2"/>
  <c r="J82" i="2"/>
  <c r="M81" i="2"/>
  <c r="L81" i="2"/>
  <c r="K81" i="2"/>
  <c r="J81" i="2"/>
  <c r="M80" i="2"/>
  <c r="L80" i="2"/>
  <c r="K80" i="2"/>
  <c r="J80" i="2"/>
  <c r="M79" i="2"/>
  <c r="L79" i="2"/>
  <c r="K79" i="2"/>
  <c r="J79" i="2"/>
  <c r="M78" i="2"/>
  <c r="L78" i="2"/>
  <c r="K78" i="2"/>
  <c r="J78" i="2"/>
  <c r="M77" i="2"/>
  <c r="L77" i="2"/>
  <c r="K77" i="2"/>
  <c r="J77" i="2"/>
  <c r="M76" i="2"/>
  <c r="L76" i="2"/>
  <c r="K76" i="2"/>
  <c r="J76" i="2"/>
  <c r="M75" i="2"/>
  <c r="L75" i="2"/>
  <c r="K75" i="2"/>
  <c r="J75" i="2"/>
  <c r="M74" i="2"/>
  <c r="L74" i="2"/>
  <c r="K74" i="2"/>
  <c r="J74" i="2"/>
  <c r="M73" i="2"/>
  <c r="L73" i="2"/>
  <c r="K73" i="2"/>
  <c r="J73" i="2"/>
  <c r="M72" i="2"/>
  <c r="L72" i="2"/>
  <c r="K72" i="2"/>
  <c r="J72" i="2"/>
  <c r="M71" i="2"/>
  <c r="L71" i="2"/>
  <c r="K71" i="2"/>
  <c r="J71" i="2"/>
  <c r="M70" i="2"/>
  <c r="L70" i="2"/>
  <c r="K70" i="2"/>
  <c r="J70" i="2"/>
  <c r="M69" i="2"/>
  <c r="L69" i="2"/>
  <c r="K69" i="2"/>
  <c r="J69" i="2"/>
  <c r="M68" i="2"/>
  <c r="L68" i="2"/>
  <c r="K68" i="2"/>
  <c r="J68" i="2"/>
  <c r="M67" i="2"/>
  <c r="L67" i="2"/>
  <c r="K67" i="2"/>
  <c r="J67" i="2"/>
  <c r="M66" i="2"/>
  <c r="L66" i="2"/>
  <c r="K66" i="2"/>
  <c r="J66" i="2"/>
  <c r="M65" i="2"/>
  <c r="L65" i="2"/>
  <c r="K65" i="2"/>
  <c r="J65" i="2"/>
  <c r="M64" i="2"/>
  <c r="L64" i="2"/>
  <c r="K64" i="2"/>
  <c r="J64" i="2"/>
  <c r="M63" i="2"/>
  <c r="L63" i="2"/>
  <c r="K63" i="2"/>
  <c r="J63" i="2"/>
  <c r="M62" i="2"/>
  <c r="L62" i="2"/>
  <c r="K62" i="2"/>
  <c r="J62" i="2"/>
  <c r="M61" i="2"/>
  <c r="L61" i="2"/>
  <c r="K61" i="2"/>
  <c r="J61" i="2"/>
  <c r="M60" i="2"/>
  <c r="L60" i="2"/>
  <c r="K60" i="2"/>
  <c r="J60" i="2"/>
  <c r="M59" i="2"/>
  <c r="L59" i="2"/>
  <c r="K59" i="2"/>
  <c r="J59" i="2"/>
  <c r="M58" i="2"/>
  <c r="L58" i="2"/>
  <c r="K58" i="2"/>
  <c r="J58" i="2"/>
  <c r="M57" i="2"/>
  <c r="L57" i="2"/>
  <c r="K57" i="2"/>
  <c r="J57" i="2"/>
  <c r="M56" i="2"/>
  <c r="L56" i="2"/>
  <c r="K56" i="2"/>
  <c r="J56" i="2"/>
  <c r="M55" i="2"/>
  <c r="L55" i="2"/>
  <c r="K55" i="2"/>
  <c r="J55" i="2"/>
  <c r="M54" i="2"/>
  <c r="L54" i="2"/>
  <c r="K54" i="2"/>
  <c r="J54" i="2"/>
  <c r="M53" i="2"/>
  <c r="L53" i="2"/>
  <c r="K53" i="2"/>
  <c r="J53" i="2"/>
  <c r="M52" i="2"/>
  <c r="L52" i="2"/>
  <c r="K52" i="2"/>
  <c r="J52" i="2"/>
  <c r="M51" i="2"/>
  <c r="L51" i="2"/>
  <c r="K51" i="2"/>
  <c r="J51" i="2"/>
  <c r="M50" i="2"/>
  <c r="L50" i="2"/>
  <c r="K50" i="2"/>
  <c r="J50" i="2"/>
  <c r="M49" i="2"/>
  <c r="L49" i="2"/>
  <c r="K49" i="2"/>
  <c r="J49" i="2"/>
  <c r="M48" i="2"/>
  <c r="L48" i="2"/>
  <c r="K48" i="2"/>
  <c r="J48" i="2"/>
  <c r="M47" i="2"/>
  <c r="L47" i="2"/>
  <c r="K47" i="2"/>
  <c r="J47" i="2"/>
  <c r="M46" i="2"/>
  <c r="L46" i="2"/>
  <c r="K46" i="2"/>
  <c r="J46" i="2"/>
  <c r="M45" i="2"/>
  <c r="L45" i="2"/>
  <c r="K45" i="2"/>
  <c r="J45" i="2"/>
  <c r="M44" i="2"/>
  <c r="L44" i="2"/>
  <c r="K44" i="2"/>
  <c r="J44" i="2"/>
  <c r="M43" i="2"/>
  <c r="L43" i="2"/>
  <c r="K43" i="2"/>
  <c r="J43" i="2"/>
  <c r="M42" i="2"/>
  <c r="L42" i="2"/>
  <c r="K42" i="2"/>
  <c r="J42" i="2"/>
  <c r="M41" i="2"/>
  <c r="L41" i="2"/>
  <c r="K41" i="2"/>
  <c r="J41" i="2"/>
  <c r="M40" i="2"/>
  <c r="L40" i="2"/>
  <c r="K40" i="2"/>
  <c r="J40" i="2"/>
  <c r="M39" i="2"/>
  <c r="L39" i="2"/>
  <c r="K39" i="2"/>
  <c r="J39" i="2"/>
  <c r="M38" i="2"/>
  <c r="L38" i="2"/>
  <c r="K38" i="2"/>
  <c r="J38" i="2"/>
  <c r="M37" i="2"/>
  <c r="L37" i="2"/>
  <c r="K37" i="2"/>
  <c r="J37" i="2"/>
  <c r="M36" i="2"/>
  <c r="L36" i="2"/>
  <c r="K36" i="2"/>
  <c r="J36" i="2"/>
  <c r="M35" i="2"/>
  <c r="L35" i="2"/>
  <c r="K35" i="2"/>
  <c r="J35" i="2"/>
  <c r="M34" i="2"/>
  <c r="L34" i="2"/>
  <c r="K34" i="2"/>
  <c r="J34" i="2"/>
  <c r="M33" i="2"/>
  <c r="L33" i="2"/>
  <c r="K33" i="2"/>
  <c r="J33" i="2"/>
  <c r="M32" i="2"/>
  <c r="L32" i="2"/>
  <c r="K32" i="2"/>
  <c r="J32" i="2"/>
  <c r="M31" i="2"/>
  <c r="L31" i="2"/>
  <c r="K31" i="2"/>
  <c r="J31" i="2"/>
  <c r="M30" i="2"/>
  <c r="L30" i="2"/>
  <c r="K30" i="2"/>
  <c r="J30" i="2"/>
  <c r="M29" i="2"/>
  <c r="L29" i="2"/>
  <c r="K29" i="2"/>
  <c r="J29" i="2"/>
  <c r="M28" i="2"/>
  <c r="L28" i="2"/>
  <c r="K28" i="2"/>
  <c r="J28" i="2"/>
  <c r="M27" i="2"/>
  <c r="L27" i="2"/>
  <c r="K27" i="2"/>
  <c r="J27" i="2"/>
  <c r="M26" i="2"/>
  <c r="L26" i="2"/>
  <c r="K26" i="2"/>
  <c r="J26" i="2"/>
  <c r="M25" i="2"/>
  <c r="L25" i="2"/>
  <c r="K25" i="2"/>
  <c r="J25" i="2"/>
  <c r="M24" i="2"/>
  <c r="L24" i="2"/>
  <c r="K24" i="2"/>
  <c r="J24" i="2"/>
  <c r="M23" i="2"/>
  <c r="L23" i="2"/>
  <c r="K23" i="2"/>
  <c r="J23" i="2"/>
  <c r="M22" i="2"/>
  <c r="L22" i="2"/>
  <c r="K22" i="2"/>
  <c r="J22" i="2"/>
  <c r="M21" i="2"/>
  <c r="L21" i="2"/>
  <c r="K21" i="2"/>
  <c r="J21" i="2"/>
  <c r="M20" i="2"/>
  <c r="L20" i="2"/>
  <c r="K20" i="2"/>
  <c r="J20" i="2"/>
  <c r="M19" i="2"/>
  <c r="L19" i="2"/>
  <c r="K19" i="2"/>
  <c r="J19" i="2"/>
  <c r="M18" i="2"/>
  <c r="L18" i="2"/>
  <c r="K18" i="2"/>
  <c r="J18" i="2"/>
  <c r="M17" i="2"/>
  <c r="L17" i="2"/>
  <c r="K17" i="2"/>
  <c r="J17" i="2"/>
  <c r="M16" i="2"/>
  <c r="L16" i="2"/>
  <c r="K16" i="2"/>
  <c r="J16" i="2"/>
  <c r="M15" i="2"/>
  <c r="L15" i="2"/>
  <c r="K15" i="2"/>
  <c r="J15" i="2"/>
  <c r="M14" i="2"/>
  <c r="L14" i="2"/>
  <c r="K14" i="2"/>
  <c r="J14" i="2"/>
  <c r="M13" i="2"/>
  <c r="L13" i="2"/>
  <c r="K13" i="2"/>
  <c r="J13" i="2"/>
  <c r="M12" i="2"/>
  <c r="L12" i="2"/>
  <c r="K12" i="2"/>
  <c r="J12" i="2"/>
  <c r="M11" i="2"/>
  <c r="L11" i="2"/>
  <c r="K11" i="2"/>
  <c r="J11" i="2"/>
  <c r="M10" i="2"/>
  <c r="L10" i="2"/>
  <c r="K10" i="2"/>
  <c r="J10" i="2"/>
  <c r="M9" i="2"/>
  <c r="L9" i="2"/>
  <c r="K9" i="2"/>
  <c r="J9" i="2"/>
  <c r="M8" i="2"/>
  <c r="L8" i="2"/>
  <c r="K8" i="2"/>
  <c r="J8" i="2"/>
  <c r="M7" i="2"/>
  <c r="L7" i="2"/>
  <c r="K7" i="2"/>
  <c r="J7" i="2"/>
  <c r="M6" i="2"/>
  <c r="L6" i="2"/>
  <c r="K6" i="2"/>
  <c r="J6" i="2"/>
  <c r="M5" i="2"/>
  <c r="L5" i="2"/>
  <c r="K5" i="2"/>
  <c r="J5" i="2"/>
  <c r="M4" i="2"/>
  <c r="L4" i="2"/>
  <c r="K4" i="2"/>
  <c r="J4" i="2"/>
  <c r="M3" i="2"/>
  <c r="L3" i="2"/>
  <c r="K3" i="2"/>
  <c r="J3" i="2"/>
  <c r="M2" i="2"/>
  <c r="L2" i="2"/>
  <c r="K2" i="2"/>
  <c r="J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J1" authorId="0" shapeId="0" xr:uid="{D936D44E-3149-4FA5-AE4A-F0E102EF9A5B}">
      <text>
        <r>
          <rPr>
            <sz val="11"/>
            <color theme="1"/>
            <rFont val="Calibri"/>
            <family val="2"/>
            <scheme val="minor"/>
          </rPr>
          <t>Derived from Age using workbook formula.</t>
        </r>
      </text>
    </comment>
    <comment ref="L1" authorId="0" shapeId="0" xr:uid="{FC66F092-988A-4080-A589-EEEC2738EDD7}">
      <text>
        <r>
          <rPr>
            <sz val="11"/>
            <color theme="1"/>
            <rFont val="Calibri"/>
            <family val="2"/>
            <scheme val="minor"/>
          </rPr>
          <t>Derived from Treatment Cost thresholds: &lt;5000 Low, &lt;15000 Medium, else High.</t>
        </r>
      </text>
    </comment>
    <comment ref="M1" authorId="0" shapeId="0" xr:uid="{F5E71081-B9AD-4F0C-A398-D83F3FB6AFE5}">
      <text>
        <r>
          <rPr>
            <sz val="11"/>
            <color theme="1"/>
            <rFont val="Calibri"/>
            <family val="2"/>
            <scheme val="minor"/>
          </rPr>
          <t>Derived from Recovery Score thresholds: &gt;=80 Excellent, 60-79 Good, else Poor.</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BD292D-7DE6-4108-9E90-4C72D57CF92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BBD4F78-520C-417E-B7A2-003E3E625BE9}" name="WorksheetConnection_Green_Valley_Medical_Center_Dashboard.xlsx!Hospital_Data" type="102" refreshedVersion="8" minRefreshableVersion="5">
    <extLst>
      <ext xmlns:x15="http://schemas.microsoft.com/office/spreadsheetml/2010/11/main" uri="{DE250136-89BD-433C-8126-D09CA5730AF9}">
        <x15:connection id="Hospital_Data-e75ec225-ef5d-423b-a371-626dd89225a3" autoDelete="1">
          <x15:rangePr sourceName="_xlcn.WorksheetConnection_Green_Valley_Medical_Center_Dashboard.xlsxHospital_Data1"/>
        </x15:connection>
      </ext>
    </extLst>
  </connection>
</connections>
</file>

<file path=xl/sharedStrings.xml><?xml version="1.0" encoding="utf-8"?>
<sst xmlns="http://schemas.openxmlformats.org/spreadsheetml/2006/main" count="2014" uniqueCount="438">
  <si>
    <t>s</t>
  </si>
  <si>
    <t>Patient ID</t>
  </si>
  <si>
    <t>Department</t>
  </si>
  <si>
    <t>Treatment Type</t>
  </si>
  <si>
    <t>Doctor Name</t>
  </si>
  <si>
    <t>Gender</t>
  </si>
  <si>
    <t>Age</t>
  </si>
  <si>
    <t>Treatment Cost</t>
  </si>
  <si>
    <t>Hospital Stay (Days)</t>
  </si>
  <si>
    <t>Recovery Score</t>
  </si>
  <si>
    <t>Age Group</t>
  </si>
  <si>
    <t>Age Group 2</t>
  </si>
  <si>
    <t>Cost Category</t>
  </si>
  <si>
    <t>Recovery Category</t>
  </si>
  <si>
    <t>P1001</t>
  </si>
  <si>
    <t>Dermatology</t>
  </si>
  <si>
    <t>Surgery</t>
  </si>
  <si>
    <t>Dr. Smith</t>
  </si>
  <si>
    <t>Female</t>
  </si>
  <si>
    <t>P1002</t>
  </si>
  <si>
    <t>Cardiology</t>
  </si>
  <si>
    <t>Dr. Martinez</t>
  </si>
  <si>
    <t>Male</t>
  </si>
  <si>
    <t>P1003</t>
  </si>
  <si>
    <t>Oncology</t>
  </si>
  <si>
    <t>Dr. Rodriguez</t>
  </si>
  <si>
    <t>P1004</t>
  </si>
  <si>
    <t>Orthopedics</t>
  </si>
  <si>
    <t>Observation</t>
  </si>
  <si>
    <t>P1005</t>
  </si>
  <si>
    <t>Pediatrics</t>
  </si>
  <si>
    <t>Therapy</t>
  </si>
  <si>
    <t>Dr. Jones</t>
  </si>
  <si>
    <t>P1006</t>
  </si>
  <si>
    <t>Dr. Garcia</t>
  </si>
  <si>
    <t>P1007</t>
  </si>
  <si>
    <t>Dr. Johnson</t>
  </si>
  <si>
    <t>P1008</t>
  </si>
  <si>
    <t>P1009</t>
  </si>
  <si>
    <t>Dr. Davis</t>
  </si>
  <si>
    <t>P1010</t>
  </si>
  <si>
    <t>P1011</t>
  </si>
  <si>
    <t>Other</t>
  </si>
  <si>
    <t>P1012</t>
  </si>
  <si>
    <t>P1013</t>
  </si>
  <si>
    <t>Medication</t>
  </si>
  <si>
    <t>P1014</t>
  </si>
  <si>
    <t>Dr. Williams</t>
  </si>
  <si>
    <t>P1015</t>
  </si>
  <si>
    <t>Neurology</t>
  </si>
  <si>
    <t>P1016</t>
  </si>
  <si>
    <t>P1017</t>
  </si>
  <si>
    <t>Dr. Miller</t>
  </si>
  <si>
    <t>P1018</t>
  </si>
  <si>
    <t>General Medicine</t>
  </si>
  <si>
    <t>P1019</t>
  </si>
  <si>
    <t>P1020</t>
  </si>
  <si>
    <t>P1021</t>
  </si>
  <si>
    <t>P1022</t>
  </si>
  <si>
    <t>P1023</t>
  </si>
  <si>
    <t>P1024</t>
  </si>
  <si>
    <t>P1025</t>
  </si>
  <si>
    <t>P1026</t>
  </si>
  <si>
    <t>P1027</t>
  </si>
  <si>
    <t>P1028</t>
  </si>
  <si>
    <t>Dr. Brown</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</si>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</sst>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6" x14ac:knownFonts="1">
    <font>
      <sz val="11"/>
      <color theme="1"/>
      <name val="Calibri"/>
      <family val="2"/>
      <scheme val="minor"/>
    </font>
    <font>
      <sz val="12"/>
      <color theme="1"/>
      <name val="Calibri"/>
      <family val="2"/>
      <scheme val="minor"/>
    </font>
    <font>
      <sz val="9"/>
      <color theme="1"/>
      <name val="Calibri"/>
      <family val="2"/>
      <scheme val="minor"/>
    </font>
    <font>
      <b/>
      <sz val="12"/>
      <color theme="4" tint="-0.249977111117893"/>
      <name val="Calibri"/>
      <family val="2"/>
      <scheme val="minor"/>
    </font>
    <font>
      <b/>
      <sz val="11"/>
      <color rgb="FFFFFFFF"/>
      <name val="Calibri"/>
    </font>
    <font>
      <b/>
      <sz val="11"/>
      <color rgb="FFFFFFFF"/>
      <name val="Calibri"/>
      <family val="2"/>
    </font>
  </fonts>
  <fills count="4">
    <fill>
      <patternFill patternType="none"/>
    </fill>
    <fill>
      <patternFill patternType="gray125"/>
    </fill>
    <fill>
      <patternFill patternType="solid">
        <fgColor theme="0" tint="-4.9989318521683403E-2"/>
        <bgColor indexed="64"/>
      </patternFill>
    </fill>
    <fill>
      <patternFill patternType="solid">
        <fgColor rgb="FF0F172A"/>
      </patternFill>
    </fill>
  </fills>
  <borders count="2">
    <border>
      <left/>
      <right/>
      <top/>
      <bottom/>
      <diagonal/>
    </border>
    <border>
      <left/>
      <right/>
      <top/>
      <bottom style="medium">
        <color rgb="FF0F766E"/>
      </bottom>
      <diagonal/>
    </border>
  </borders>
  <cellStyleXfs count="1">
    <xf numFmtId="0" fontId="0" fillId="0" borderId="0"/>
  </cellStyleXfs>
  <cellXfs count="11">
    <xf numFmtId="0" fontId="0" fillId="0" borderId="0" xfId="0"/>
    <xf numFmtId="0" fontId="0" fillId="2" borderId="0" xfId="0" applyFill="1"/>
    <xf numFmtId="0" fontId="1" fillId="2" borderId="0" xfId="0" applyFont="1" applyFill="1"/>
    <xf numFmtId="0" fontId="1" fillId="2" borderId="0" xfId="0" applyFont="1" applyFill="1" applyAlignment="1">
      <alignment horizontal="center"/>
    </xf>
    <xf numFmtId="0" fontId="2" fillId="2" borderId="0" xfId="0" applyFont="1" applyFill="1" applyAlignment="1">
      <alignment horizontal="left" vertical="top"/>
    </xf>
    <xf numFmtId="0" fontId="3" fillId="2" borderId="0" xfId="0" applyFont="1" applyFill="1" applyAlignment="1">
      <alignment horizontal="left" vertical="top"/>
    </xf>
    <xf numFmtId="0" fontId="4" fillId="3" borderId="1" xfId="0" applyFont="1" applyFill="1" applyBorder="1" applyAlignment="1">
      <alignment horizontal="center" vertical="center"/>
    </xf>
    <xf numFmtId="1" fontId="4"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164" fontId="0" fillId="0" borderId="0" xfId="0" applyNumberFormat="1"/>
    <xf numFmtId="1" fontId="0" fillId="0" borderId="0" xfId="0" applyNumberFormat="1"/>
  </cellXfs>
  <cellStyles count="1">
    <cellStyle name="Normal" xfId="0" builtinId="0"/>
  </cellStyles>
  <dxfs count="4">
    <dxf>
      <numFmt numFmtId="0" formatCode="General"/>
    </dxf>
    <dxf>
      <numFmt numFmtId="0" formatCode="General"/>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externalLink" Target="externalLinks/externalLink2.xml"/><Relationship Id="rId9" Type="http://schemas.microsoft.com/office/2007/relationships/slicerCache" Target="slicerCaches/slicerCache4.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3" Type="http://schemas.openxmlformats.org/officeDocument/2006/relationships/image" Target="../media/image11.png"/><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image" Target="../media/image12.svg"/></Relationships>
</file>

<file path=xl/charts/_rels/chart2.xml.rels><?xml version="1.0" encoding="UTF-8" standalone="yes"?>
<Relationships xmlns="http://schemas.openxmlformats.org/package/2006/relationships"><Relationship Id="rId3" Type="http://schemas.openxmlformats.org/officeDocument/2006/relationships/image" Target="../media/image13.png"/><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image" Target="../media/image14.svg"/></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accent1">
                    <a:lumMod val="50000"/>
                  </a:schemeClr>
                </a:solidFill>
                <a:latin typeface="+mn-lt"/>
                <a:ea typeface="+mn-ea"/>
                <a:cs typeface="+mn-cs"/>
              </a:defRPr>
            </a:pPr>
            <a:r>
              <a:rPr lang="en-US" sz="1200" b="1">
                <a:solidFill>
                  <a:schemeClr val="accent1">
                    <a:lumMod val="50000"/>
                  </a:schemeClr>
                </a:solidFill>
              </a:rPr>
              <a:t>Avg of Recovery Score by  Dept</a:t>
            </a:r>
          </a:p>
        </c:rich>
      </c:tx>
      <c:layout>
        <c:manualLayout>
          <c:xMode val="edge"/>
          <c:yMode val="edge"/>
          <c:x val="2.1021426106597272E-3"/>
          <c:y val="3.014994412827111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95125460739147"/>
          <c:y val="0.16547393062353694"/>
          <c:w val="0.80390061128591095"/>
          <c:h val="0.44202865266841646"/>
        </c:manualLayout>
      </c:layout>
      <c:barChart>
        <c:barDir val="col"/>
        <c:grouping val="clustered"/>
        <c:varyColors val="0"/>
        <c:ser>
          <c:idx val="0"/>
          <c:order val="0"/>
          <c:tx>
            <c:v>Total</c:v>
          </c:tx>
          <c:spPr>
            <a:solidFill>
              <a:schemeClr val="accent1"/>
            </a:solidFill>
            <a:ln>
              <a:noFill/>
            </a:ln>
            <a:effectLst/>
          </c:spPr>
          <c:invertIfNegative val="0"/>
          <c:cat>
            <c:strLit>
              <c:ptCount val="7"/>
              <c:pt idx="0">
                <c:v>Pediatrics</c:v>
              </c:pt>
              <c:pt idx="1">
                <c:v>General Medicine</c:v>
              </c:pt>
              <c:pt idx="2">
                <c:v>Dermatology</c:v>
              </c:pt>
              <c:pt idx="3">
                <c:v>Orthopedics</c:v>
              </c:pt>
              <c:pt idx="4">
                <c:v>Neurology</c:v>
              </c:pt>
              <c:pt idx="5">
                <c:v>Cardiology</c:v>
              </c:pt>
              <c:pt idx="6">
                <c:v>Oncology</c:v>
              </c:pt>
            </c:strLit>
          </c:cat>
          <c:val>
            <c:numLit>
              <c:formatCode>General</c:formatCode>
              <c:ptCount val="7"/>
              <c:pt idx="0">
                <c:v>79.8</c:v>
              </c:pt>
              <c:pt idx="1">
                <c:v>79.5</c:v>
              </c:pt>
              <c:pt idx="2">
                <c:v>78.833333333333329</c:v>
              </c:pt>
              <c:pt idx="3">
                <c:v>77.882352941176464</c:v>
              </c:pt>
              <c:pt idx="4">
                <c:v>77.333333333333329</c:v>
              </c:pt>
              <c:pt idx="5">
                <c:v>70.666666666666671</c:v>
              </c:pt>
              <c:pt idx="6">
                <c:v>70.599999999999994</c:v>
              </c:pt>
            </c:numLit>
          </c:val>
          <c:extLst>
            <c:ext xmlns:c16="http://schemas.microsoft.com/office/drawing/2014/chart" uri="{C3380CC4-5D6E-409C-BE32-E72D297353CC}">
              <c16:uniqueId val="{00000000-79D6-414C-82BB-09B49441FB7A}"/>
            </c:ext>
          </c:extLst>
        </c:ser>
        <c:dLbls>
          <c:showLegendKey val="0"/>
          <c:showVal val="0"/>
          <c:showCatName val="0"/>
          <c:showSerName val="0"/>
          <c:showPercent val="0"/>
          <c:showBubbleSize val="0"/>
        </c:dLbls>
        <c:gapWidth val="97"/>
        <c:overlap val="-27"/>
        <c:axId val="1525090224"/>
        <c:axId val="1525090704"/>
      </c:barChart>
      <c:catAx>
        <c:axId val="152509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25090704"/>
        <c:crosses val="autoZero"/>
        <c:auto val="1"/>
        <c:lblAlgn val="ctr"/>
        <c:lblOffset val="100"/>
        <c:noMultiLvlLbl val="0"/>
      </c:catAx>
      <c:valAx>
        <c:axId val="1525090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509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accent1">
                    <a:lumMod val="50000"/>
                  </a:schemeClr>
                </a:solidFill>
                <a:latin typeface="+mn-lt"/>
                <a:ea typeface="+mn-ea"/>
                <a:cs typeface="+mn-cs"/>
              </a:defRPr>
            </a:pPr>
            <a:r>
              <a:rPr lang="en-US" sz="1200" b="1">
                <a:solidFill>
                  <a:schemeClr val="accent1">
                    <a:lumMod val="50000"/>
                  </a:schemeClr>
                </a:solidFill>
              </a:rPr>
              <a:t>Avg Recovery Score based on Doctor </a:t>
            </a:r>
          </a:p>
        </c:rich>
      </c:tx>
      <c:layout>
        <c:manualLayout>
          <c:xMode val="edge"/>
          <c:yMode val="edge"/>
          <c:x val="1.5136148890479586E-2"/>
          <c:y val="1.6361937808621379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85737536748851"/>
          <c:y val="0.16757575757575757"/>
          <c:w val="0.7315461440679254"/>
          <c:h val="0.77686868686868682"/>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Dr. Smith</c:v>
              </c:pt>
              <c:pt idx="1">
                <c:v>Dr. Rodriguez</c:v>
              </c:pt>
              <c:pt idx="2">
                <c:v>Dr. Williams</c:v>
              </c:pt>
              <c:pt idx="3">
                <c:v>Dr. Davis</c:v>
              </c:pt>
              <c:pt idx="4">
                <c:v>Dr. Garcia</c:v>
              </c:pt>
              <c:pt idx="5">
                <c:v>Dr. Brown</c:v>
              </c:pt>
              <c:pt idx="6">
                <c:v>Dr. Miller</c:v>
              </c:pt>
              <c:pt idx="7">
                <c:v>Dr. Martinez</c:v>
              </c:pt>
              <c:pt idx="8">
                <c:v>Dr. Jones</c:v>
              </c:pt>
              <c:pt idx="9">
                <c:v>Dr. Johnson</c:v>
              </c:pt>
            </c:strLit>
          </c:cat>
          <c:val>
            <c:numLit>
              <c:formatCode>General</c:formatCode>
              <c:ptCount val="10"/>
              <c:pt idx="0">
                <c:v>70.75</c:v>
              </c:pt>
              <c:pt idx="1">
                <c:v>71.75</c:v>
              </c:pt>
              <c:pt idx="2">
                <c:v>76</c:v>
              </c:pt>
              <c:pt idx="3">
                <c:v>76.111111111111114</c:v>
              </c:pt>
              <c:pt idx="4">
                <c:v>76.599999999999994</c:v>
              </c:pt>
              <c:pt idx="5">
                <c:v>77.400000000000006</c:v>
              </c:pt>
              <c:pt idx="6">
                <c:v>77.538461538461533</c:v>
              </c:pt>
              <c:pt idx="7">
                <c:v>78</c:v>
              </c:pt>
              <c:pt idx="8">
                <c:v>79.083333333333329</c:v>
              </c:pt>
              <c:pt idx="9">
                <c:v>84.461538461538467</c:v>
              </c:pt>
            </c:numLit>
          </c:val>
          <c:extLst>
            <c:ext xmlns:c16="http://schemas.microsoft.com/office/drawing/2014/chart" uri="{C3380CC4-5D6E-409C-BE32-E72D297353CC}">
              <c16:uniqueId val="{00000000-FBC5-429D-B950-0D7FC79DE1A9}"/>
            </c:ext>
          </c:extLst>
        </c:ser>
        <c:dLbls>
          <c:dLblPos val="outEnd"/>
          <c:showLegendKey val="0"/>
          <c:showVal val="1"/>
          <c:showCatName val="0"/>
          <c:showSerName val="0"/>
          <c:showPercent val="0"/>
          <c:showBubbleSize val="0"/>
        </c:dLbls>
        <c:gapWidth val="96"/>
        <c:axId val="1488582768"/>
        <c:axId val="1488586608"/>
      </c:barChart>
      <c:catAx>
        <c:axId val="14885827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88586608"/>
        <c:crosses val="autoZero"/>
        <c:auto val="1"/>
        <c:lblAlgn val="ctr"/>
        <c:lblOffset val="100"/>
        <c:noMultiLvlLbl val="0"/>
      </c:catAx>
      <c:valAx>
        <c:axId val="1488586608"/>
        <c:scaling>
          <c:orientation val="minMax"/>
        </c:scaling>
        <c:delete val="1"/>
        <c:axPos val="b"/>
        <c:numFmt formatCode="General" sourceLinked="1"/>
        <c:majorTickMark val="out"/>
        <c:minorTickMark val="none"/>
        <c:tickLblPos val="nextTo"/>
        <c:crossAx val="148858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accent1">
                    <a:lumMod val="50000"/>
                  </a:schemeClr>
                </a:solidFill>
                <a:latin typeface="+mn-lt"/>
                <a:ea typeface="+mn-ea"/>
                <a:cs typeface="+mn-cs"/>
              </a:defRPr>
            </a:pPr>
            <a:r>
              <a:rPr lang="en-US" sz="1050" b="1">
                <a:solidFill>
                  <a:schemeClr val="accent1">
                    <a:lumMod val="50000"/>
                  </a:schemeClr>
                </a:solidFill>
              </a:rPr>
              <a:t>Patient distribution by Gender</a:t>
            </a:r>
          </a:p>
        </c:rich>
      </c:tx>
      <c:layout>
        <c:manualLayout>
          <c:xMode val="edge"/>
          <c:yMode val="edge"/>
          <c:x val="2.337468792010754E-3"/>
          <c:y val="2.1241315423807311E-3"/>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172091415402343"/>
              <c:y val="0.217592592592592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4722222222222223"/>
              <c:y val="8.796296296296288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0555555555555556"/>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172091415402343"/>
              <c:y val="0.217592592592592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722222222222223"/>
              <c:y val="8.796296296296288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555555555555556"/>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172091415402343"/>
              <c:y val="0.21759259259259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4722222222222223"/>
              <c:y val="8.79629629629628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555555555555556"/>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26061071634339"/>
          <c:y val="0.1372996642252636"/>
          <c:w val="0.54169264451699639"/>
          <c:h val="0.6923129184911736"/>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47-4F8D-A0CA-91A9C6E4AE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47-4F8D-A0CA-91A9C6E4AE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47-4F8D-A0CA-91A9C6E4AEB0}"/>
              </c:ext>
            </c:extLst>
          </c:dPt>
          <c:dLbls>
            <c:dLbl>
              <c:idx val="0"/>
              <c:layout>
                <c:manualLayout>
                  <c:x val="0.10172091415402343"/>
                  <c:y val="0.2175925925925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47-4F8D-A0CA-91A9C6E4AEB0}"/>
                </c:ext>
              </c:extLst>
            </c:dLbl>
            <c:dLbl>
              <c:idx val="1"/>
              <c:layout>
                <c:manualLayout>
                  <c:x val="-0.14722222222222223"/>
                  <c:y val="8.79629629629628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47-4F8D-A0CA-91A9C6E4AEB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56</c:v>
              </c:pt>
              <c:pt idx="1">
                <c:v>41</c:v>
              </c:pt>
            </c:numLit>
          </c:val>
          <c:extLst>
            <c:ext xmlns:c16="http://schemas.microsoft.com/office/drawing/2014/chart" uri="{C3380CC4-5D6E-409C-BE32-E72D297353CC}">
              <c16:uniqueId val="{00000006-9647-4F8D-A0CA-91A9C6E4AEB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589629345112345"/>
          <c:y val="0.22704307549791569"/>
          <c:w val="0.16649704982411007"/>
          <c:h val="0.2978244807867351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accent1">
                    <a:lumMod val="50000"/>
                  </a:schemeClr>
                </a:solidFill>
                <a:latin typeface="+mn-lt"/>
                <a:ea typeface="+mn-ea"/>
                <a:cs typeface="+mn-cs"/>
              </a:defRPr>
            </a:pPr>
            <a:r>
              <a:rPr lang="en-US" sz="1050" b="1">
                <a:solidFill>
                  <a:schemeClr val="accent1">
                    <a:lumMod val="50000"/>
                  </a:schemeClr>
                </a:solidFill>
              </a:rPr>
              <a:t>Patient Distribution By Treatment Cost</a:t>
            </a:r>
          </a:p>
        </c:rich>
      </c:tx>
      <c:layout>
        <c:manualLayout>
          <c:xMode val="edge"/>
          <c:yMode val="edge"/>
          <c:x val="2.5629273488894325E-2"/>
          <c:y val="5.1666026502784701E-3"/>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2697433000247166"/>
              <c:y val="-1.59640820759474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1134564457469723"/>
              <c:y val="5.97063729102826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2697433000247166"/>
              <c:y val="-1.59640820759474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134564457469723"/>
              <c:y val="5.97063729102826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2697433000247166"/>
              <c:y val="-1.59640820759474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134564457469723"/>
              <c:y val="5.97063729102826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17777915329139615"/>
          <c:y val="9.7560975609756101E-2"/>
          <c:w val="0.4786658797449222"/>
          <c:h val="0.79826291530631843"/>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D7-488E-970D-FFE16EB1C8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D7-488E-970D-FFE16EB1C8BE}"/>
              </c:ext>
            </c:extLst>
          </c:dPt>
          <c:dLbls>
            <c:dLbl>
              <c:idx val="1"/>
              <c:layout>
                <c:manualLayout>
                  <c:x val="-0.11134564457469723"/>
                  <c:y val="5.97063729102826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DD7-488E-970D-FFE16EB1C8BE}"/>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High Cost</c:v>
              </c:pt>
              <c:pt idx="1">
                <c:v>Low Cost</c:v>
              </c:pt>
            </c:strLit>
          </c:cat>
          <c:val>
            <c:numLit>
              <c:formatCode>General</c:formatCode>
              <c:ptCount val="2"/>
              <c:pt idx="0">
                <c:v>81</c:v>
              </c:pt>
              <c:pt idx="1">
                <c:v>16</c:v>
              </c:pt>
            </c:numLit>
          </c:val>
          <c:extLst>
            <c:ext xmlns:c16="http://schemas.microsoft.com/office/drawing/2014/chart" uri="{C3380CC4-5D6E-409C-BE32-E72D297353CC}">
              <c16:uniqueId val="{00000004-3DD7-488E-970D-FFE16EB1C8B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580458692663415"/>
          <c:y val="0.47004301545640137"/>
          <c:w val="0.22245578225458329"/>
          <c:h val="0.2350587730863435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algn="ctr" rtl="0">
              <a:defRPr sz="1100" b="1">
                <a:solidFill>
                  <a:schemeClr val="accent1">
                    <a:lumMod val="50000"/>
                  </a:schemeClr>
                </a:solidFill>
              </a:defRPr>
            </a:pPr>
            <a:r>
              <a:rPr lang="en-US" sz="1100" b="1" i="0" u="none" strike="noStrike" baseline="0">
                <a:solidFill>
                  <a:schemeClr val="accent1">
                    <a:lumMod val="50000"/>
                  </a:schemeClr>
                </a:solidFill>
                <a:latin typeface="Calibri"/>
              </a:rPr>
              <a:t>Avg Recovery Score by Treatment Type</a:t>
            </a:r>
          </a:p>
          <a:p>
            <a:pPr algn="ctr" rtl="0">
              <a:defRPr sz="1100" b="1">
                <a:solidFill>
                  <a:schemeClr val="accent1">
                    <a:lumMod val="50000"/>
                  </a:schemeClr>
                </a:solidFill>
              </a:defRPr>
            </a:pPr>
            <a:endParaRPr lang="en-US" sz="1100" b="1" i="0" u="none" strike="noStrike" baseline="0">
              <a:solidFill>
                <a:schemeClr val="accent1">
                  <a:lumMod val="50000"/>
                </a:schemeClr>
              </a:solidFill>
              <a:latin typeface="Calibri"/>
            </a:endParaRPr>
          </a:p>
        </cx:rich>
      </cx:tx>
    </cx:title>
    <cx:plotArea>
      <cx:plotAreaRegion>
        <cx:series layoutId="funnel" uniqueId="{D0168DC3-F8C0-4610-BE33-57694718EC06}">
          <cx:tx>
            <cx:txData>
              <cx:f>_xlchart.v2.4</cx:f>
              <cx:v>Average of Recovery Score</cx:v>
            </cx:txData>
          </cx:tx>
          <cx:spPr>
            <a:solidFill>
              <a:schemeClr val="accent1"/>
            </a:solidFill>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accent1">
                    <a:lumMod val="50000"/>
                  </a:schemeClr>
                </a:solidFill>
              </a:defRPr>
            </a:pPr>
            <a:endParaRPr lang="en-US" sz="1000" b="1" i="0" u="none" strike="noStrike" baseline="0">
              <a:solidFill>
                <a:schemeClr val="accent1">
                  <a:lumMod val="50000"/>
                </a:schemeClr>
              </a:solidFill>
              <a:latin typeface="Calibri"/>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Average Recovery Score by Age Group</cx:v>
        </cx:txData>
      </cx:tx>
      <cx:txPr>
        <a:bodyPr spcFirstLastPara="1" vertOverflow="ellipsis" horzOverflow="overflow" wrap="square" lIns="0" tIns="0" rIns="0" bIns="0" anchor="ctr" anchorCtr="1"/>
        <a:lstStyle/>
        <a:p>
          <a:pPr algn="ctr" rtl="0">
            <a:defRPr sz="1100" b="1"/>
          </a:pPr>
          <a:r>
            <a:rPr lang="en-US" sz="1100" b="1" i="0" u="none" strike="noStrike" baseline="0">
              <a:solidFill>
                <a:sysClr val="windowText" lastClr="000000">
                  <a:lumMod val="65000"/>
                  <a:lumOff val="35000"/>
                </a:sysClr>
              </a:solidFill>
              <a:latin typeface="Calibri"/>
            </a:rPr>
            <a:t>Average Recovery Score by Age Group</a:t>
          </a:r>
        </a:p>
      </cx:txPr>
    </cx:title>
    <cx:plotArea>
      <cx:plotAreaRegion>
        <cx:series layoutId="treemap" uniqueId="{8621512A-7394-4FF8-B86B-7B979856D82B}">
          <cx:tx>
            <cx:txData>
              <cx:f>_xlchart.v1.1</cx:f>
              <cx:v>Average of Recovery Score</cx:v>
            </cx:txData>
          </cx:tx>
          <cx:dataLabels pos="inEnd">
            <cx:txPr>
              <a:bodyPr spcFirstLastPara="1" vertOverflow="ellipsis" horzOverflow="overflow" wrap="square" lIns="0" tIns="0" rIns="0" bIns="0" anchor="ctr" anchorCtr="1"/>
              <a:lstStyle/>
              <a:p>
                <a:pPr algn="ctr" rtl="0">
                  <a:defRPr sz="900" b="1"/>
                </a:pPr>
                <a:endParaRPr lang="en-US" sz="900" b="1" i="0" u="none" strike="noStrike" baseline="0">
                  <a:solidFill>
                    <a:sysClr val="window" lastClr="FFFFFF"/>
                  </a:solidFill>
                  <a:latin typeface="Calibri"/>
                </a:endParaRPr>
              </a:p>
            </cx:txPr>
            <cx:visibility seriesName="0" categoryName="1" value="1"/>
            <cx:separator>, </cx:separator>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sz="700" b="1">
              <a:solidFill>
                <a:schemeClr val="accent1">
                  <a:lumMod val="50000"/>
                </a:schemeClr>
              </a:solidFill>
            </a:defRPr>
          </a:pPr>
          <a:endParaRPr lang="en-US" sz="700" b="1" i="0" u="none" strike="noStrike" baseline="0">
            <a:solidFill>
              <a:schemeClr val="accent1">
                <a:lumMod val="50000"/>
              </a:schemeClr>
            </a:solidFill>
            <a:latin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image" Target="../media/image16.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5.png"/><Relationship Id="rId2" Type="http://schemas.openxmlformats.org/officeDocument/2006/relationships/image" Target="../media/image2.svg"/><Relationship Id="rId16"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49776</xdr:colOff>
      <xdr:row>3</xdr:row>
      <xdr:rowOff>171450</xdr:rowOff>
    </xdr:from>
    <xdr:to>
      <xdr:col>3</xdr:col>
      <xdr:colOff>202176</xdr:colOff>
      <xdr:row>7</xdr:row>
      <xdr:rowOff>95250</xdr:rowOff>
    </xdr:to>
    <xdr:sp macro="" textlink="No_of_Patient">
      <xdr:nvSpPr>
        <xdr:cNvPr id="2" name="TextBox 1">
          <a:extLst>
            <a:ext uri="{FF2B5EF4-FFF2-40B4-BE49-F238E27FC236}">
              <a16:creationId xmlns:a16="http://schemas.microsoft.com/office/drawing/2014/main" id="{86E995D0-CF7A-4084-838E-DE2C8C61090E}"/>
            </a:ext>
          </a:extLst>
        </xdr:cNvPr>
        <xdr:cNvSpPr txBox="1"/>
      </xdr:nvSpPr>
      <xdr:spPr>
        <a:xfrm>
          <a:off x="49776" y="723900"/>
          <a:ext cx="1981200" cy="67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b="1" i="0" u="none" strike="noStrike">
              <a:solidFill>
                <a:schemeClr val="accent1">
                  <a:lumMod val="50000"/>
                </a:schemeClr>
              </a:solidFill>
              <a:latin typeface="Calibri"/>
              <a:ea typeface="Calibri"/>
              <a:cs typeface="Calibri"/>
            </a:rPr>
            <a:t>Patient Count </a:t>
          </a:r>
        </a:p>
        <a:p>
          <a:pPr marL="0" indent="0" algn="l"/>
          <a:r>
            <a:rPr lang="en-US" sz="1600" b="1" i="0" u="none" strike="noStrike">
              <a:solidFill>
                <a:schemeClr val="accent1">
                  <a:lumMod val="50000"/>
                </a:schemeClr>
              </a:solidFill>
              <a:latin typeface="Calibri"/>
              <a:ea typeface="Calibri"/>
              <a:cs typeface="Calibri"/>
            </a:rPr>
            <a:t>            </a:t>
          </a:r>
          <a:fld id="{C313A38F-17FD-4C3C-918D-6F3E3365C458}" type="TxLink">
            <a:rPr lang="en-US" sz="1600" b="1" i="0" u="none" strike="noStrike">
              <a:solidFill>
                <a:schemeClr val="accent1">
                  <a:lumMod val="50000"/>
                </a:schemeClr>
              </a:solidFill>
              <a:latin typeface="Calibri"/>
              <a:ea typeface="Calibri"/>
              <a:cs typeface="Calibri"/>
            </a:rPr>
            <a:pPr marL="0" indent="0" algn="l"/>
            <a:t>400</a:t>
          </a:fld>
          <a:endParaRPr lang="en-US" sz="1600" b="1" i="0" u="none" strike="noStrike">
            <a:solidFill>
              <a:schemeClr val="accent1">
                <a:lumMod val="50000"/>
              </a:schemeClr>
            </a:solidFill>
            <a:latin typeface="Calibri"/>
            <a:ea typeface="Calibri"/>
            <a:cs typeface="Calibri"/>
          </a:endParaRPr>
        </a:p>
      </xdr:txBody>
    </xdr:sp>
    <xdr:clientData/>
  </xdr:twoCellAnchor>
  <xdr:twoCellAnchor>
    <xdr:from>
      <xdr:col>3</xdr:col>
      <xdr:colOff>228600</xdr:colOff>
      <xdr:row>3</xdr:row>
      <xdr:rowOff>177800</xdr:rowOff>
    </xdr:from>
    <xdr:to>
      <xdr:col>6</xdr:col>
      <xdr:colOff>381000</xdr:colOff>
      <xdr:row>7</xdr:row>
      <xdr:rowOff>101600</xdr:rowOff>
    </xdr:to>
    <xdr:sp macro="" textlink="Treatment_Cost">
      <xdr:nvSpPr>
        <xdr:cNvPr id="3" name="TextBox 2">
          <a:extLst>
            <a:ext uri="{FF2B5EF4-FFF2-40B4-BE49-F238E27FC236}">
              <a16:creationId xmlns:a16="http://schemas.microsoft.com/office/drawing/2014/main" id="{8DAC9796-B604-48C9-B4CD-1C2FE6F3018B}"/>
            </a:ext>
          </a:extLst>
        </xdr:cNvPr>
        <xdr:cNvSpPr txBox="1"/>
      </xdr:nvSpPr>
      <xdr:spPr>
        <a:xfrm>
          <a:off x="2057400" y="730250"/>
          <a:ext cx="1981200" cy="67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b="1" i="0" u="none" strike="noStrike">
              <a:solidFill>
                <a:schemeClr val="accent1">
                  <a:lumMod val="50000"/>
                </a:schemeClr>
              </a:solidFill>
              <a:latin typeface="Calibri"/>
              <a:ea typeface="Calibri"/>
              <a:cs typeface="Calibri"/>
            </a:rPr>
            <a:t>Avg Treatment Cost</a:t>
          </a:r>
        </a:p>
        <a:p>
          <a:pPr marL="0" indent="0" algn="l"/>
          <a:r>
            <a:rPr lang="en-US" sz="1600" b="1" i="0" u="none" strike="noStrike">
              <a:solidFill>
                <a:schemeClr val="accent1">
                  <a:lumMod val="50000"/>
                </a:schemeClr>
              </a:solidFill>
              <a:latin typeface="Calibri"/>
              <a:ea typeface="Calibri"/>
              <a:cs typeface="Calibri"/>
            </a:rPr>
            <a:t>            </a:t>
          </a:r>
          <a:fld id="{6BECC389-5152-49E5-A1BD-FF9AF6006DA5}" type="TxLink">
            <a:rPr lang="en-US" sz="1600" b="1" i="0" u="none" strike="noStrike">
              <a:solidFill>
                <a:schemeClr val="accent1">
                  <a:lumMod val="50000"/>
                </a:schemeClr>
              </a:solidFill>
              <a:latin typeface="Calibri"/>
              <a:ea typeface="Calibri"/>
              <a:cs typeface="Calibri"/>
            </a:rPr>
            <a:pPr marL="0" indent="0" algn="l"/>
            <a:t>£5,051.53</a:t>
          </a:fld>
          <a:endParaRPr lang="en-US" sz="1600" b="1" i="0" u="none" strike="noStrike">
            <a:solidFill>
              <a:schemeClr val="accent1">
                <a:lumMod val="50000"/>
              </a:schemeClr>
            </a:solidFill>
            <a:latin typeface="Calibri"/>
            <a:ea typeface="Calibri"/>
            <a:cs typeface="Calibri"/>
          </a:endParaRPr>
        </a:p>
      </xdr:txBody>
    </xdr:sp>
    <xdr:clientData/>
  </xdr:twoCellAnchor>
  <xdr:twoCellAnchor>
    <xdr:from>
      <xdr:col>6</xdr:col>
      <xdr:colOff>431800</xdr:colOff>
      <xdr:row>4</xdr:row>
      <xdr:rowOff>0</xdr:rowOff>
    </xdr:from>
    <xdr:to>
      <xdr:col>9</xdr:col>
      <xdr:colOff>584200</xdr:colOff>
      <xdr:row>7</xdr:row>
      <xdr:rowOff>107950</xdr:rowOff>
    </xdr:to>
    <xdr:sp macro="" textlink="Average_Age">
      <xdr:nvSpPr>
        <xdr:cNvPr id="4" name="TextBox 3">
          <a:extLst>
            <a:ext uri="{FF2B5EF4-FFF2-40B4-BE49-F238E27FC236}">
              <a16:creationId xmlns:a16="http://schemas.microsoft.com/office/drawing/2014/main" id="{C51A3A9A-C853-4A3E-B48E-0B8DBC3B306E}"/>
            </a:ext>
          </a:extLst>
        </xdr:cNvPr>
        <xdr:cNvSpPr txBox="1"/>
      </xdr:nvSpPr>
      <xdr:spPr>
        <a:xfrm>
          <a:off x="4089400" y="736600"/>
          <a:ext cx="1981200" cy="67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b="1" i="0" u="none" strike="noStrike">
              <a:solidFill>
                <a:schemeClr val="accent1">
                  <a:lumMod val="50000"/>
                </a:schemeClr>
              </a:solidFill>
              <a:latin typeface="Calibri"/>
              <a:ea typeface="Calibri"/>
              <a:cs typeface="Calibri"/>
            </a:rPr>
            <a:t>Avg Patient Age</a:t>
          </a:r>
        </a:p>
        <a:p>
          <a:pPr marL="0" indent="0" algn="l"/>
          <a:r>
            <a:rPr lang="en-US" sz="1600" b="1" i="0" u="none" strike="noStrike">
              <a:solidFill>
                <a:schemeClr val="accent1">
                  <a:lumMod val="50000"/>
                </a:schemeClr>
              </a:solidFill>
              <a:latin typeface="Calibri"/>
              <a:ea typeface="Calibri"/>
              <a:cs typeface="Calibri"/>
            </a:rPr>
            <a:t>            </a:t>
          </a:r>
          <a:fld id="{A4B7DE3E-24E2-4258-A113-FE8B0FD2FEA7}" type="TxLink">
            <a:rPr lang="en-US" sz="1600" b="1" i="0" u="none" strike="noStrike">
              <a:solidFill>
                <a:schemeClr val="accent1">
                  <a:lumMod val="50000"/>
                </a:schemeClr>
              </a:solidFill>
              <a:latin typeface="Calibri"/>
              <a:ea typeface="Calibri"/>
              <a:cs typeface="Calibri"/>
            </a:rPr>
            <a:pPr marL="0" indent="0" algn="l"/>
            <a:t>45</a:t>
          </a:fld>
          <a:endParaRPr lang="en-US" sz="1600" b="1" i="0" u="none" strike="noStrike">
            <a:solidFill>
              <a:schemeClr val="accent1">
                <a:lumMod val="50000"/>
              </a:schemeClr>
            </a:solidFill>
            <a:latin typeface="Calibri"/>
            <a:ea typeface="Calibri"/>
            <a:cs typeface="Calibri"/>
          </a:endParaRPr>
        </a:p>
      </xdr:txBody>
    </xdr:sp>
    <xdr:clientData/>
  </xdr:twoCellAnchor>
  <xdr:twoCellAnchor>
    <xdr:from>
      <xdr:col>10</xdr:col>
      <xdr:colOff>6350</xdr:colOff>
      <xdr:row>4</xdr:row>
      <xdr:rowOff>0</xdr:rowOff>
    </xdr:from>
    <xdr:to>
      <xdr:col>13</xdr:col>
      <xdr:colOff>158750</xdr:colOff>
      <xdr:row>7</xdr:row>
      <xdr:rowOff>107950</xdr:rowOff>
    </xdr:to>
    <xdr:sp macro="" textlink="Stay">
      <xdr:nvSpPr>
        <xdr:cNvPr id="5" name="TextBox 4">
          <a:extLst>
            <a:ext uri="{FF2B5EF4-FFF2-40B4-BE49-F238E27FC236}">
              <a16:creationId xmlns:a16="http://schemas.microsoft.com/office/drawing/2014/main" id="{2814E4D8-6FA8-47E2-826A-960D03C2BCEA}"/>
            </a:ext>
          </a:extLst>
        </xdr:cNvPr>
        <xdr:cNvSpPr txBox="1"/>
      </xdr:nvSpPr>
      <xdr:spPr>
        <a:xfrm>
          <a:off x="6102350" y="736600"/>
          <a:ext cx="1981200" cy="67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b="1" i="0" u="none" strike="noStrike">
              <a:solidFill>
                <a:schemeClr val="accent1">
                  <a:lumMod val="50000"/>
                </a:schemeClr>
              </a:solidFill>
              <a:latin typeface="Calibri"/>
              <a:ea typeface="Calibri"/>
              <a:cs typeface="Calibri"/>
            </a:rPr>
            <a:t>Avg Stay (Days)</a:t>
          </a:r>
        </a:p>
        <a:p>
          <a:pPr marL="0" indent="0" algn="l"/>
          <a:r>
            <a:rPr lang="en-US" sz="1600" b="1" i="0" u="none" strike="noStrike">
              <a:solidFill>
                <a:schemeClr val="accent1">
                  <a:lumMod val="50000"/>
                </a:schemeClr>
              </a:solidFill>
              <a:latin typeface="Calibri"/>
              <a:ea typeface="Calibri"/>
              <a:cs typeface="Calibri"/>
            </a:rPr>
            <a:t>            </a:t>
          </a:r>
          <a:fld id="{A7ED4FA3-4AD5-48F5-8A5F-DBA3D6BA4E78}" type="TxLink">
            <a:rPr lang="en-US" sz="1600" b="1" i="0" u="none" strike="noStrike">
              <a:solidFill>
                <a:schemeClr val="accent1">
                  <a:lumMod val="50000"/>
                </a:schemeClr>
              </a:solidFill>
              <a:latin typeface="Calibri"/>
              <a:ea typeface="Calibri"/>
              <a:cs typeface="Calibri"/>
            </a:rPr>
            <a:pPr marL="0" indent="0" algn="l"/>
            <a:t>5</a:t>
          </a:fld>
          <a:endParaRPr lang="en-US" sz="1600" b="1" i="0" u="none" strike="noStrike">
            <a:solidFill>
              <a:schemeClr val="accent1">
                <a:lumMod val="50000"/>
              </a:schemeClr>
            </a:solidFill>
            <a:latin typeface="Calibri"/>
            <a:ea typeface="Calibri"/>
            <a:cs typeface="Calibri"/>
          </a:endParaRPr>
        </a:p>
      </xdr:txBody>
    </xdr:sp>
    <xdr:clientData/>
  </xdr:twoCellAnchor>
  <xdr:twoCellAnchor>
    <xdr:from>
      <xdr:col>13</xdr:col>
      <xdr:colOff>209550</xdr:colOff>
      <xdr:row>4</xdr:row>
      <xdr:rowOff>12700</xdr:rowOff>
    </xdr:from>
    <xdr:to>
      <xdr:col>16</xdr:col>
      <xdr:colOff>361950</xdr:colOff>
      <xdr:row>7</xdr:row>
      <xdr:rowOff>120650</xdr:rowOff>
    </xdr:to>
    <xdr:sp macro="" textlink="Recovery">
      <xdr:nvSpPr>
        <xdr:cNvPr id="6" name="TextBox 5">
          <a:extLst>
            <a:ext uri="{FF2B5EF4-FFF2-40B4-BE49-F238E27FC236}">
              <a16:creationId xmlns:a16="http://schemas.microsoft.com/office/drawing/2014/main" id="{89A932EF-633A-4FD6-BAF1-E4CB8E4A023B}"/>
            </a:ext>
          </a:extLst>
        </xdr:cNvPr>
        <xdr:cNvSpPr txBox="1"/>
      </xdr:nvSpPr>
      <xdr:spPr>
        <a:xfrm>
          <a:off x="8134350" y="749300"/>
          <a:ext cx="1981200" cy="67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b="1" i="0" u="none" strike="noStrike">
              <a:solidFill>
                <a:schemeClr val="accent1">
                  <a:lumMod val="50000"/>
                </a:schemeClr>
              </a:solidFill>
              <a:latin typeface="Calibri"/>
              <a:ea typeface="Calibri"/>
              <a:cs typeface="Calibri"/>
            </a:rPr>
            <a:t>Avg Recovery Score</a:t>
          </a:r>
        </a:p>
        <a:p>
          <a:pPr marL="0" indent="0" algn="l"/>
          <a:r>
            <a:rPr lang="en-US" sz="1600" b="1" i="0" u="none" strike="noStrike">
              <a:solidFill>
                <a:schemeClr val="accent1">
                  <a:lumMod val="50000"/>
                </a:schemeClr>
              </a:solidFill>
              <a:latin typeface="Calibri"/>
              <a:ea typeface="Calibri"/>
              <a:cs typeface="Calibri"/>
            </a:rPr>
            <a:t>            </a:t>
          </a:r>
          <a:fld id="{34C44897-BF05-40C4-9A72-3CDF403ED8B4}" type="TxLink">
            <a:rPr lang="en-US" sz="1600" b="1" i="0" u="none" strike="noStrike">
              <a:solidFill>
                <a:schemeClr val="accent1">
                  <a:lumMod val="50000"/>
                </a:schemeClr>
              </a:solidFill>
              <a:latin typeface="Calibri"/>
              <a:ea typeface="Calibri"/>
              <a:cs typeface="Calibri"/>
            </a:rPr>
            <a:pPr marL="0" indent="0" algn="l"/>
            <a:t>75.34</a:t>
          </a:fld>
          <a:endParaRPr lang="en-US" sz="1600" b="1" i="0" u="none" strike="noStrike">
            <a:solidFill>
              <a:schemeClr val="accent1">
                <a:lumMod val="50000"/>
              </a:schemeClr>
            </a:solidFill>
            <a:latin typeface="Calibri"/>
            <a:ea typeface="Calibri"/>
            <a:cs typeface="Calibri"/>
          </a:endParaRPr>
        </a:p>
      </xdr:txBody>
    </xdr:sp>
    <xdr:clientData/>
  </xdr:twoCellAnchor>
  <xdr:twoCellAnchor>
    <xdr:from>
      <xdr:col>0</xdr:col>
      <xdr:colOff>30726</xdr:colOff>
      <xdr:row>0</xdr:row>
      <xdr:rowOff>0</xdr:rowOff>
    </xdr:from>
    <xdr:to>
      <xdr:col>16</xdr:col>
      <xdr:colOff>367276</xdr:colOff>
      <xdr:row>3</xdr:row>
      <xdr:rowOff>120650</xdr:rowOff>
    </xdr:to>
    <xdr:sp macro="" textlink="Patient_Count">
      <xdr:nvSpPr>
        <xdr:cNvPr id="7" name="TextBox 6">
          <a:extLst>
            <a:ext uri="{FF2B5EF4-FFF2-40B4-BE49-F238E27FC236}">
              <a16:creationId xmlns:a16="http://schemas.microsoft.com/office/drawing/2014/main" id="{FD074F83-878B-463A-B354-AEB2AD479C23}"/>
            </a:ext>
          </a:extLst>
        </xdr:cNvPr>
        <xdr:cNvSpPr txBox="1"/>
      </xdr:nvSpPr>
      <xdr:spPr>
        <a:xfrm>
          <a:off x="30726" y="0"/>
          <a:ext cx="10090150" cy="67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0" u="none" strike="noStrike">
              <a:solidFill>
                <a:schemeClr val="accent1">
                  <a:lumMod val="75000"/>
                </a:schemeClr>
              </a:solidFill>
              <a:latin typeface="Calibri"/>
              <a:ea typeface="Calibri"/>
              <a:cs typeface="Calibri"/>
            </a:rPr>
            <a:t>Patient Treatment Data - Recovery Analysis</a:t>
          </a:r>
        </a:p>
      </xdr:txBody>
    </xdr:sp>
    <xdr:clientData/>
  </xdr:twoCellAnchor>
  <xdr:twoCellAnchor>
    <xdr:from>
      <xdr:col>12</xdr:col>
      <xdr:colOff>520700</xdr:colOff>
      <xdr:row>2</xdr:row>
      <xdr:rowOff>127000</xdr:rowOff>
    </xdr:from>
    <xdr:to>
      <xdr:col>16</xdr:col>
      <xdr:colOff>241300</xdr:colOff>
      <xdr:row>3</xdr:row>
      <xdr:rowOff>63500</xdr:rowOff>
    </xdr:to>
    <xdr:sp macro="" textlink="">
      <xdr:nvSpPr>
        <xdr:cNvPr id="8" name="TextBox 7">
          <a:extLst>
            <a:ext uri="{FF2B5EF4-FFF2-40B4-BE49-F238E27FC236}">
              <a16:creationId xmlns:a16="http://schemas.microsoft.com/office/drawing/2014/main" id="{41A4D397-A7E2-48BF-BFDB-3CB9A33A1984}"/>
            </a:ext>
          </a:extLst>
        </xdr:cNvPr>
        <xdr:cNvSpPr txBox="1"/>
      </xdr:nvSpPr>
      <xdr:spPr>
        <a:xfrm>
          <a:off x="7835900" y="495300"/>
          <a:ext cx="2159000" cy="120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accent1">
                  <a:lumMod val="75000"/>
                </a:schemeClr>
              </a:solidFill>
            </a:rPr>
            <a:t>By</a:t>
          </a:r>
          <a:r>
            <a:rPr lang="en-US" sz="1100" b="1"/>
            <a:t> </a:t>
          </a:r>
          <a:r>
            <a:rPr lang="en-US" sz="1100" b="1">
              <a:solidFill>
                <a:schemeClr val="accent1">
                  <a:lumMod val="75000"/>
                </a:schemeClr>
              </a:solidFill>
            </a:rPr>
            <a:t>Funmilola</a:t>
          </a:r>
          <a:r>
            <a:rPr lang="en-US" sz="1100" b="1"/>
            <a:t> </a:t>
          </a:r>
          <a:r>
            <a:rPr lang="en-US" sz="1100" b="1">
              <a:solidFill>
                <a:schemeClr val="accent1">
                  <a:lumMod val="75000"/>
                </a:schemeClr>
              </a:solidFill>
            </a:rPr>
            <a:t>Lanade</a:t>
          </a:r>
        </a:p>
      </xdr:txBody>
    </xdr:sp>
    <xdr:clientData/>
  </xdr:twoCellAnchor>
  <xdr:twoCellAnchor editAs="oneCell">
    <xdr:from>
      <xdr:col>0</xdr:col>
      <xdr:colOff>123517</xdr:colOff>
      <xdr:row>5</xdr:row>
      <xdr:rowOff>18641</xdr:rowOff>
    </xdr:from>
    <xdr:to>
      <xdr:col>1</xdr:col>
      <xdr:colOff>23351</xdr:colOff>
      <xdr:row>7</xdr:row>
      <xdr:rowOff>24991</xdr:rowOff>
    </xdr:to>
    <xdr:pic>
      <xdr:nvPicPr>
        <xdr:cNvPr id="9" name="Graphic 8" descr="Inpatient with solid fill">
          <a:extLst>
            <a:ext uri="{FF2B5EF4-FFF2-40B4-BE49-F238E27FC236}">
              <a16:creationId xmlns:a16="http://schemas.microsoft.com/office/drawing/2014/main" id="{46B21980-857F-4E58-A60C-4274190464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3517" y="952091"/>
          <a:ext cx="509434" cy="374650"/>
        </a:xfrm>
        <a:prstGeom prst="rect">
          <a:avLst/>
        </a:prstGeom>
        <a:effectLst>
          <a:glow rad="63500">
            <a:schemeClr val="accent1">
              <a:satMod val="175000"/>
              <a:alpha val="40000"/>
            </a:schemeClr>
          </a:glow>
        </a:effectLst>
      </xdr:spPr>
    </xdr:pic>
    <xdr:clientData/>
  </xdr:twoCellAnchor>
  <xdr:twoCellAnchor editAs="oneCell">
    <xdr:from>
      <xdr:col>3</xdr:col>
      <xdr:colOff>342900</xdr:colOff>
      <xdr:row>5</xdr:row>
      <xdr:rowOff>31750</xdr:rowOff>
    </xdr:from>
    <xdr:to>
      <xdr:col>4</xdr:col>
      <xdr:colOff>158750</xdr:colOff>
      <xdr:row>7</xdr:row>
      <xdr:rowOff>25400</xdr:rowOff>
    </xdr:to>
    <xdr:pic>
      <xdr:nvPicPr>
        <xdr:cNvPr id="10" name="Graphic 9" descr="Coins outline">
          <a:extLst>
            <a:ext uri="{FF2B5EF4-FFF2-40B4-BE49-F238E27FC236}">
              <a16:creationId xmlns:a16="http://schemas.microsoft.com/office/drawing/2014/main" id="{CA5B43E3-5372-4F05-AE3D-23C3D2CD00F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71700" y="965200"/>
          <a:ext cx="425450" cy="361950"/>
        </a:xfrm>
        <a:prstGeom prst="rect">
          <a:avLst/>
        </a:prstGeom>
        <a:effectLst>
          <a:glow rad="63500">
            <a:schemeClr val="accent1">
              <a:satMod val="175000"/>
              <a:alpha val="40000"/>
            </a:schemeClr>
          </a:glow>
        </a:effectLst>
      </xdr:spPr>
    </xdr:pic>
    <xdr:clientData/>
  </xdr:twoCellAnchor>
  <xdr:twoCellAnchor editAs="oneCell">
    <xdr:from>
      <xdr:col>6</xdr:col>
      <xdr:colOff>590550</xdr:colOff>
      <xdr:row>5</xdr:row>
      <xdr:rowOff>76200</xdr:rowOff>
    </xdr:from>
    <xdr:to>
      <xdr:col>7</xdr:col>
      <xdr:colOff>311150</xdr:colOff>
      <xdr:row>7</xdr:row>
      <xdr:rowOff>57150</xdr:rowOff>
    </xdr:to>
    <xdr:pic>
      <xdr:nvPicPr>
        <xdr:cNvPr id="11" name="Graphic 10" descr="Hourglass 30% outline">
          <a:extLst>
            <a:ext uri="{FF2B5EF4-FFF2-40B4-BE49-F238E27FC236}">
              <a16:creationId xmlns:a16="http://schemas.microsoft.com/office/drawing/2014/main" id="{4F97B829-2063-438E-98BF-21049A3E17C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48150" y="1009650"/>
          <a:ext cx="330200" cy="349250"/>
        </a:xfrm>
        <a:prstGeom prst="rect">
          <a:avLst/>
        </a:prstGeom>
        <a:effectLst>
          <a:glow rad="63500">
            <a:schemeClr val="accent1">
              <a:satMod val="175000"/>
              <a:alpha val="40000"/>
            </a:schemeClr>
          </a:glow>
        </a:effectLst>
      </xdr:spPr>
    </xdr:pic>
    <xdr:clientData/>
  </xdr:twoCellAnchor>
  <xdr:twoCellAnchor editAs="oneCell">
    <xdr:from>
      <xdr:col>10</xdr:col>
      <xdr:colOff>184150</xdr:colOff>
      <xdr:row>5</xdr:row>
      <xdr:rowOff>69850</xdr:rowOff>
    </xdr:from>
    <xdr:to>
      <xdr:col>10</xdr:col>
      <xdr:colOff>584200</xdr:colOff>
      <xdr:row>7</xdr:row>
      <xdr:rowOff>50800</xdr:rowOff>
    </xdr:to>
    <xdr:pic>
      <xdr:nvPicPr>
        <xdr:cNvPr id="12" name="Graphic 11" descr="Monthly calendar outline">
          <a:extLst>
            <a:ext uri="{FF2B5EF4-FFF2-40B4-BE49-F238E27FC236}">
              <a16:creationId xmlns:a16="http://schemas.microsoft.com/office/drawing/2014/main" id="{F470C176-39E8-4859-8FEA-16BD7289039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280150" y="1003300"/>
          <a:ext cx="400050" cy="349250"/>
        </a:xfrm>
        <a:prstGeom prst="rect">
          <a:avLst/>
        </a:prstGeom>
        <a:effectLst>
          <a:glow rad="139700">
            <a:schemeClr val="accent1">
              <a:satMod val="175000"/>
              <a:alpha val="40000"/>
            </a:schemeClr>
          </a:glow>
        </a:effectLst>
      </xdr:spPr>
    </xdr:pic>
    <xdr:clientData/>
  </xdr:twoCellAnchor>
  <xdr:twoCellAnchor editAs="oneCell">
    <xdr:from>
      <xdr:col>13</xdr:col>
      <xdr:colOff>377050</xdr:colOff>
      <xdr:row>5</xdr:row>
      <xdr:rowOff>38100</xdr:rowOff>
    </xdr:from>
    <xdr:to>
      <xdr:col>14</xdr:col>
      <xdr:colOff>184150</xdr:colOff>
      <xdr:row>7</xdr:row>
      <xdr:rowOff>53200</xdr:rowOff>
    </xdr:to>
    <xdr:pic>
      <xdr:nvPicPr>
        <xdr:cNvPr id="13" name="Graphic 12" descr="Heartbeat with solid fill">
          <a:extLst>
            <a:ext uri="{FF2B5EF4-FFF2-40B4-BE49-F238E27FC236}">
              <a16:creationId xmlns:a16="http://schemas.microsoft.com/office/drawing/2014/main" id="{7899A6EA-F558-4ADA-8FD5-3FD7BC4168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301850" y="971550"/>
          <a:ext cx="416700" cy="383400"/>
        </a:xfrm>
        <a:prstGeom prst="rect">
          <a:avLst/>
        </a:prstGeom>
        <a:effectLst>
          <a:glow rad="63500">
            <a:schemeClr val="accent1">
              <a:satMod val="175000"/>
              <a:alpha val="40000"/>
            </a:schemeClr>
          </a:glow>
        </a:effectLst>
      </xdr:spPr>
    </xdr:pic>
    <xdr:clientData/>
  </xdr:twoCellAnchor>
  <xdr:twoCellAnchor>
    <xdr:from>
      <xdr:col>0</xdr:col>
      <xdr:colOff>19050</xdr:colOff>
      <xdr:row>8</xdr:row>
      <xdr:rowOff>19050</xdr:rowOff>
    </xdr:from>
    <xdr:to>
      <xdr:col>5</xdr:col>
      <xdr:colOff>463550</xdr:colOff>
      <xdr:row>18</xdr:row>
      <xdr:rowOff>50800</xdr:rowOff>
    </xdr:to>
    <xdr:sp macro="" textlink="">
      <xdr:nvSpPr>
        <xdr:cNvPr id="14" name="TextBox 13">
          <a:extLst>
            <a:ext uri="{FF2B5EF4-FFF2-40B4-BE49-F238E27FC236}">
              <a16:creationId xmlns:a16="http://schemas.microsoft.com/office/drawing/2014/main" id="{00891D11-2ECC-45B1-97DD-7791B778EDCC}"/>
            </a:ext>
          </a:extLst>
        </xdr:cNvPr>
        <xdr:cNvSpPr txBox="1"/>
      </xdr:nvSpPr>
      <xdr:spPr>
        <a:xfrm>
          <a:off x="19050" y="1504950"/>
          <a:ext cx="3492500" cy="1885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19050</xdr:colOff>
      <xdr:row>8</xdr:row>
      <xdr:rowOff>25400</xdr:rowOff>
    </xdr:from>
    <xdr:to>
      <xdr:col>11</xdr:col>
      <xdr:colOff>464058</xdr:colOff>
      <xdr:row>18</xdr:row>
      <xdr:rowOff>57150</xdr:rowOff>
    </xdr:to>
    <xdr:sp macro="" textlink="">
      <xdr:nvSpPr>
        <xdr:cNvPr id="15" name="TextBox 14">
          <a:extLst>
            <a:ext uri="{FF2B5EF4-FFF2-40B4-BE49-F238E27FC236}">
              <a16:creationId xmlns:a16="http://schemas.microsoft.com/office/drawing/2014/main" id="{2E78C2C0-F463-4851-807C-9493BD577DDB}"/>
            </a:ext>
          </a:extLst>
        </xdr:cNvPr>
        <xdr:cNvSpPr txBox="1"/>
      </xdr:nvSpPr>
      <xdr:spPr>
        <a:xfrm>
          <a:off x="3676650" y="1511300"/>
          <a:ext cx="3493008" cy="1885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11</xdr:col>
      <xdr:colOff>590550</xdr:colOff>
      <xdr:row>8</xdr:row>
      <xdr:rowOff>50800</xdr:rowOff>
    </xdr:from>
    <xdr:to>
      <xdr:col>16</xdr:col>
      <xdr:colOff>374650</xdr:colOff>
      <xdr:row>18</xdr:row>
      <xdr:rowOff>82550</xdr:rowOff>
    </xdr:to>
    <xdr:sp macro="" textlink="">
      <xdr:nvSpPr>
        <xdr:cNvPr id="16" name="TextBox 15">
          <a:extLst>
            <a:ext uri="{FF2B5EF4-FFF2-40B4-BE49-F238E27FC236}">
              <a16:creationId xmlns:a16="http://schemas.microsoft.com/office/drawing/2014/main" id="{3155FC48-8B1E-472F-B385-997380977A26}"/>
            </a:ext>
          </a:extLst>
        </xdr:cNvPr>
        <xdr:cNvSpPr txBox="1"/>
      </xdr:nvSpPr>
      <xdr:spPr>
        <a:xfrm>
          <a:off x="7296150" y="1536700"/>
          <a:ext cx="2832100" cy="1885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0</xdr:colOff>
      <xdr:row>19</xdr:row>
      <xdr:rowOff>6350</xdr:rowOff>
    </xdr:from>
    <xdr:to>
      <xdr:col>5</xdr:col>
      <xdr:colOff>457200</xdr:colOff>
      <xdr:row>29</xdr:row>
      <xdr:rowOff>50800</xdr:rowOff>
    </xdr:to>
    <xdr:sp macro="" textlink="">
      <xdr:nvSpPr>
        <xdr:cNvPr id="17" name="TextBox 16">
          <a:extLst>
            <a:ext uri="{FF2B5EF4-FFF2-40B4-BE49-F238E27FC236}">
              <a16:creationId xmlns:a16="http://schemas.microsoft.com/office/drawing/2014/main" id="{EE1E24F6-DCBB-4B7C-97C4-83717591053D}"/>
            </a:ext>
          </a:extLst>
        </xdr:cNvPr>
        <xdr:cNvSpPr txBox="1"/>
      </xdr:nvSpPr>
      <xdr:spPr>
        <a:xfrm>
          <a:off x="0" y="3530600"/>
          <a:ext cx="3505200" cy="1885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38100</xdr:colOff>
      <xdr:row>19</xdr:row>
      <xdr:rowOff>25400</xdr:rowOff>
    </xdr:from>
    <xdr:to>
      <xdr:col>11</xdr:col>
      <xdr:colOff>495300</xdr:colOff>
      <xdr:row>29</xdr:row>
      <xdr:rowOff>69850</xdr:rowOff>
    </xdr:to>
    <xdr:sp macro="" textlink="">
      <xdr:nvSpPr>
        <xdr:cNvPr id="18" name="TextBox 17">
          <a:extLst>
            <a:ext uri="{FF2B5EF4-FFF2-40B4-BE49-F238E27FC236}">
              <a16:creationId xmlns:a16="http://schemas.microsoft.com/office/drawing/2014/main" id="{292C5E65-1385-4C3C-B7DB-E3E847D23283}"/>
            </a:ext>
          </a:extLst>
        </xdr:cNvPr>
        <xdr:cNvSpPr txBox="1"/>
      </xdr:nvSpPr>
      <xdr:spPr>
        <a:xfrm>
          <a:off x="3695700" y="3549650"/>
          <a:ext cx="3505200" cy="1885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11</xdr:col>
      <xdr:colOff>596900</xdr:colOff>
      <xdr:row>19</xdr:row>
      <xdr:rowOff>25400</xdr:rowOff>
    </xdr:from>
    <xdr:to>
      <xdr:col>16</xdr:col>
      <xdr:colOff>368300</xdr:colOff>
      <xdr:row>29</xdr:row>
      <xdr:rowOff>69850</xdr:rowOff>
    </xdr:to>
    <xdr:sp macro="" textlink="">
      <xdr:nvSpPr>
        <xdr:cNvPr id="19" name="TextBox 18">
          <a:extLst>
            <a:ext uri="{FF2B5EF4-FFF2-40B4-BE49-F238E27FC236}">
              <a16:creationId xmlns:a16="http://schemas.microsoft.com/office/drawing/2014/main" id="{6567527E-3FE0-4C9F-A8B2-DBB46E5A5E8A}"/>
            </a:ext>
          </a:extLst>
        </xdr:cNvPr>
        <xdr:cNvSpPr txBox="1"/>
      </xdr:nvSpPr>
      <xdr:spPr>
        <a:xfrm>
          <a:off x="7302500" y="3549650"/>
          <a:ext cx="2819400" cy="1885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50801</xdr:colOff>
      <xdr:row>8</xdr:row>
      <xdr:rowOff>19050</xdr:rowOff>
    </xdr:from>
    <xdr:to>
      <xdr:col>5</xdr:col>
      <xdr:colOff>190501</xdr:colOff>
      <xdr:row>18</xdr:row>
      <xdr:rowOff>88900</xdr:rowOff>
    </xdr:to>
    <xdr:graphicFrame macro="">
      <xdr:nvGraphicFramePr>
        <xdr:cNvPr id="20" name="Chart 19">
          <a:extLst>
            <a:ext uri="{FF2B5EF4-FFF2-40B4-BE49-F238E27FC236}">
              <a16:creationId xmlns:a16="http://schemas.microsoft.com/office/drawing/2014/main" id="{51AF127D-5169-42B7-8410-E429895F2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19051</xdr:colOff>
      <xdr:row>8</xdr:row>
      <xdr:rowOff>88900</xdr:rowOff>
    </xdr:from>
    <xdr:to>
      <xdr:col>11</xdr:col>
      <xdr:colOff>463551</xdr:colOff>
      <xdr:row>18</xdr:row>
      <xdr:rowOff>107950</xdr:rowOff>
    </xdr:to>
    <xdr:graphicFrame macro="">
      <xdr:nvGraphicFramePr>
        <xdr:cNvPr id="21" name="Chart 20">
          <a:extLst>
            <a:ext uri="{FF2B5EF4-FFF2-40B4-BE49-F238E27FC236}">
              <a16:creationId xmlns:a16="http://schemas.microsoft.com/office/drawing/2014/main" id="{1DE8F8F3-7978-4E1D-9888-43E30412A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590550</xdr:colOff>
      <xdr:row>8</xdr:row>
      <xdr:rowOff>50800</xdr:rowOff>
    </xdr:from>
    <xdr:to>
      <xdr:col>17</xdr:col>
      <xdr:colOff>187325</xdr:colOff>
      <xdr:row>19</xdr:row>
      <xdr:rowOff>171450</xdr:rowOff>
    </xdr:to>
    <xdr:graphicFrame macro="">
      <xdr:nvGraphicFramePr>
        <xdr:cNvPr id="22" name="Chart 21">
          <a:extLst>
            <a:ext uri="{FF2B5EF4-FFF2-40B4-BE49-F238E27FC236}">
              <a16:creationId xmlns:a16="http://schemas.microsoft.com/office/drawing/2014/main" id="{7F332BB9-75E6-4E22-930D-7CB712B69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18</xdr:row>
      <xdr:rowOff>177800</xdr:rowOff>
    </xdr:from>
    <xdr:to>
      <xdr:col>5</xdr:col>
      <xdr:colOff>412750</xdr:colOff>
      <xdr:row>29</xdr:row>
      <xdr:rowOff>12700</xdr:rowOff>
    </xdr:to>
    <mc:AlternateContent xmlns:mc="http://schemas.openxmlformats.org/markup-compatibility/2006">
      <mc:Choice xmlns:cx2="http://schemas.microsoft.com/office/drawing/2015/10/21/chartex" Requires="cx2">
        <xdr:graphicFrame macro="">
          <xdr:nvGraphicFramePr>
            <xdr:cNvPr id="23" name="Chart 22">
              <a:extLst>
                <a:ext uri="{FF2B5EF4-FFF2-40B4-BE49-F238E27FC236}">
                  <a16:creationId xmlns:a16="http://schemas.microsoft.com/office/drawing/2014/main" id="{709262F0-041B-4AAB-8DB3-E3A207CBAD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0" y="3517900"/>
              <a:ext cx="3460750" cy="1860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38100</xdr:colOff>
      <xdr:row>19</xdr:row>
      <xdr:rowOff>25400</xdr:rowOff>
    </xdr:from>
    <xdr:to>
      <xdr:col>11</xdr:col>
      <xdr:colOff>463550</xdr:colOff>
      <xdr:row>30</xdr:row>
      <xdr:rowOff>82550</xdr:rowOff>
    </xdr:to>
    <xdr:graphicFrame macro="">
      <xdr:nvGraphicFramePr>
        <xdr:cNvPr id="24" name="Chart 23">
          <a:extLst>
            <a:ext uri="{FF2B5EF4-FFF2-40B4-BE49-F238E27FC236}">
              <a16:creationId xmlns:a16="http://schemas.microsoft.com/office/drawing/2014/main" id="{A184897E-994D-4D0B-9CEE-F71208C66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539750</xdr:colOff>
      <xdr:row>19</xdr:row>
      <xdr:rowOff>57150</xdr:rowOff>
    </xdr:from>
    <xdr:to>
      <xdr:col>16</xdr:col>
      <xdr:colOff>539750</xdr:colOff>
      <xdr:row>29</xdr:row>
      <xdr:rowOff>165100</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52CD09D9-7C0A-4253-A0E9-C3F1474B0E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7245350" y="3581400"/>
              <a:ext cx="3048000" cy="19494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126999</xdr:colOff>
      <xdr:row>0</xdr:row>
      <xdr:rowOff>0</xdr:rowOff>
    </xdr:from>
    <xdr:to>
      <xdr:col>20</xdr:col>
      <xdr:colOff>95249</xdr:colOff>
      <xdr:row>4</xdr:row>
      <xdr:rowOff>107950</xdr:rowOff>
    </xdr:to>
    <mc:AlternateContent xmlns:mc="http://schemas.openxmlformats.org/markup-compatibility/2006">
      <mc:Choice xmlns:a14="http://schemas.microsoft.com/office/drawing/2010/main" Requires="a14">
        <xdr:graphicFrame macro="">
          <xdr:nvGraphicFramePr>
            <xdr:cNvPr id="26" name="Gender">
              <a:extLst>
                <a:ext uri="{FF2B5EF4-FFF2-40B4-BE49-F238E27FC236}">
                  <a16:creationId xmlns:a16="http://schemas.microsoft.com/office/drawing/2014/main" id="{0739EFD4-11F8-4B60-81BA-9CDE70F1450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573773" y="0"/>
              <a:ext cx="1811799" cy="845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127000</xdr:colOff>
      <xdr:row>5</xdr:row>
      <xdr:rowOff>38099</xdr:rowOff>
    </xdr:from>
    <xdr:to>
      <xdr:col>20</xdr:col>
      <xdr:colOff>120650</xdr:colOff>
      <xdr:row>14</xdr:row>
      <xdr:rowOff>9969</xdr:rowOff>
    </xdr:to>
    <mc:AlternateContent xmlns:mc="http://schemas.openxmlformats.org/markup-compatibility/2006">
      <mc:Choice xmlns:a14="http://schemas.microsoft.com/office/drawing/2010/main" Requires="a14">
        <xdr:graphicFrame macro="">
          <xdr:nvGraphicFramePr>
            <xdr:cNvPr id="27" name="Doctor Name">
              <a:extLst>
                <a:ext uri="{FF2B5EF4-FFF2-40B4-BE49-F238E27FC236}">
                  <a16:creationId xmlns:a16="http://schemas.microsoft.com/office/drawing/2014/main" id="{DA392D89-A7FB-4BDA-9DB8-13BABDBCB88B}"/>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dr:sp macro="" textlink="">
          <xdr:nvSpPr>
            <xdr:cNvPr id="0" name=""/>
            <xdr:cNvSpPr>
              <a:spLocks noTextEdit="1"/>
            </xdr:cNvSpPr>
          </xdr:nvSpPr>
          <xdr:spPr>
            <a:xfrm>
              <a:off x="10573774" y="970115"/>
              <a:ext cx="1837199" cy="16413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133350</xdr:colOff>
      <xdr:row>14</xdr:row>
      <xdr:rowOff>184149</xdr:rowOff>
    </xdr:from>
    <xdr:to>
      <xdr:col>20</xdr:col>
      <xdr:colOff>133350</xdr:colOff>
      <xdr:row>20</xdr:row>
      <xdr:rowOff>173862</xdr:rowOff>
    </xdr:to>
    <mc:AlternateContent xmlns:mc="http://schemas.openxmlformats.org/markup-compatibility/2006">
      <mc:Choice xmlns:a14="http://schemas.microsoft.com/office/drawing/2010/main" Requires="a14">
        <xdr:graphicFrame macro="">
          <xdr:nvGraphicFramePr>
            <xdr:cNvPr id="28" name="Treatment Type">
              <a:extLst>
                <a:ext uri="{FF2B5EF4-FFF2-40B4-BE49-F238E27FC236}">
                  <a16:creationId xmlns:a16="http://schemas.microsoft.com/office/drawing/2014/main" id="{4007EA59-3333-40EB-AFB2-F48D39D52FE1}"/>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dr:sp macro="" textlink="">
          <xdr:nvSpPr>
            <xdr:cNvPr id="0" name=""/>
            <xdr:cNvSpPr>
              <a:spLocks noTextEdit="1"/>
            </xdr:cNvSpPr>
          </xdr:nvSpPr>
          <xdr:spPr>
            <a:xfrm>
              <a:off x="10580124" y="2785601"/>
              <a:ext cx="1843549" cy="1095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139700</xdr:colOff>
      <xdr:row>21</xdr:row>
      <xdr:rowOff>107949</xdr:rowOff>
    </xdr:from>
    <xdr:to>
      <xdr:col>20</xdr:col>
      <xdr:colOff>139700</xdr:colOff>
      <xdr:row>29</xdr:row>
      <xdr:rowOff>69850</xdr:rowOff>
    </xdr:to>
    <mc:AlternateContent xmlns:mc="http://schemas.openxmlformats.org/markup-compatibility/2006">
      <mc:Choice xmlns:a14="http://schemas.microsoft.com/office/drawing/2010/main" Requires="a14">
        <xdr:graphicFrame macro="">
          <xdr:nvGraphicFramePr>
            <xdr:cNvPr id="29" name="Department">
              <a:extLst>
                <a:ext uri="{FF2B5EF4-FFF2-40B4-BE49-F238E27FC236}">
                  <a16:creationId xmlns:a16="http://schemas.microsoft.com/office/drawing/2014/main" id="{CE82C098-B89C-4CE7-B1F5-E7545DF8BAD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586474" y="3999884"/>
              <a:ext cx="1843549" cy="1436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81934</xdr:colOff>
      <xdr:row>0</xdr:row>
      <xdr:rowOff>0</xdr:rowOff>
    </xdr:from>
    <xdr:to>
      <xdr:col>1</xdr:col>
      <xdr:colOff>471129</xdr:colOff>
      <xdr:row>3</xdr:row>
      <xdr:rowOff>102419</xdr:rowOff>
    </xdr:to>
    <xdr:pic>
      <xdr:nvPicPr>
        <xdr:cNvPr id="30" name="Graphic 29" descr="Hospital outline">
          <a:extLst>
            <a:ext uri="{FF2B5EF4-FFF2-40B4-BE49-F238E27FC236}">
              <a16:creationId xmlns:a16="http://schemas.microsoft.com/office/drawing/2014/main" id="{06E124CF-3C6A-42A1-AC45-986ECC53714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1934" y="0"/>
          <a:ext cx="998795" cy="654869"/>
        </a:xfrm>
        <a:prstGeom prst="rect">
          <a:avLst/>
        </a:prstGeom>
        <a:effectLst>
          <a:glow rad="63500">
            <a:schemeClr val="accent1">
              <a:satMod val="175000"/>
              <a:alpha val="40000"/>
            </a:schemeClr>
          </a:glow>
        </a:effec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unmi\Desktop\PORTFOLIO%20FOR%20HEALTH%20TECH%20PROJECTS\Green_Valley_Medical_Center_Dashboard%20Real.xlsx" TargetMode="External"/><Relationship Id="rId1" Type="http://schemas.openxmlformats.org/officeDocument/2006/relationships/externalLinkPath" Target="Green_Valley_Medical_Center_Dashboard%20Real.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Book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Dashboard (2)"/>
      <sheetName val="Raw_Data"/>
      <sheetName val="Dashboard1"/>
      <sheetName val="Insights"/>
      <sheetName val="Pivot Table Analysis"/>
      <sheetName val="Hospital_Data "/>
      <sheetName val="Lists"/>
      <sheetName val="Calc"/>
    </sheetNames>
    <sheetDataSet>
      <sheetData sheetId="0"/>
      <sheetData sheetId="1"/>
      <sheetData sheetId="2"/>
      <sheetData sheetId="3"/>
      <sheetData sheetId="4"/>
      <sheetData sheetId="5">
        <row r="47">
          <cell r="B47" t="str">
            <v>Treatment Type</v>
          </cell>
          <cell r="C47" t="str">
            <v>Average of Recovery Score</v>
          </cell>
        </row>
        <row r="48">
          <cell r="B48" t="str">
            <v>Surgery</v>
          </cell>
          <cell r="C48">
            <v>76.835051546391753</v>
          </cell>
        </row>
        <row r="49">
          <cell r="B49" t="str">
            <v>Therapy</v>
          </cell>
          <cell r="C49">
            <v>76.090909090909093</v>
          </cell>
          <cell r="F49" t="str">
            <v>Average of Recovery Score</v>
          </cell>
        </row>
        <row r="50">
          <cell r="B50" t="str">
            <v>Medication</v>
          </cell>
          <cell r="C50">
            <v>75.666666666666671</v>
          </cell>
          <cell r="E50" t="str">
            <v>Surgery</v>
          </cell>
          <cell r="F50">
            <v>76.835051546391753</v>
          </cell>
        </row>
        <row r="51">
          <cell r="B51" t="str">
            <v>Observation</v>
          </cell>
          <cell r="C51">
            <v>72.862745098039213</v>
          </cell>
          <cell r="E51" t="str">
            <v>Therapy</v>
          </cell>
          <cell r="F51">
            <v>76.090909090909093</v>
          </cell>
        </row>
        <row r="52">
          <cell r="B52" t="str">
            <v>Grand Total</v>
          </cell>
          <cell r="C52">
            <v>75.34</v>
          </cell>
          <cell r="E52" t="str">
            <v>Medication</v>
          </cell>
          <cell r="F52">
            <v>75.666666666666671</v>
          </cell>
        </row>
        <row r="53">
          <cell r="E53" t="str">
            <v>Observation</v>
          </cell>
          <cell r="F53">
            <v>72.862745098039213</v>
          </cell>
        </row>
        <row r="54">
          <cell r="E54" t="str">
            <v>Grand Total</v>
          </cell>
          <cell r="F54">
            <v>75.34</v>
          </cell>
        </row>
        <row r="57">
          <cell r="B57" t="str">
            <v>Age Group</v>
          </cell>
          <cell r="C57" t="str">
            <v>Average of Recovery Score</v>
          </cell>
        </row>
        <row r="58">
          <cell r="B58" t="str">
            <v>Elderly</v>
          </cell>
          <cell r="C58">
            <v>76.032520325203251</v>
          </cell>
          <cell r="F58" t="str">
            <v>Average of Recovery Score</v>
          </cell>
        </row>
        <row r="59">
          <cell r="B59" t="str">
            <v>Child</v>
          </cell>
          <cell r="C59">
            <v>76.023809523809518</v>
          </cell>
          <cell r="E59" t="str">
            <v>Elderly</v>
          </cell>
          <cell r="F59">
            <v>76.032520325203251</v>
          </cell>
        </row>
        <row r="60">
          <cell r="B60" t="str">
            <v>Adult</v>
          </cell>
          <cell r="C60">
            <v>75.537313432835816</v>
          </cell>
          <cell r="E60" t="str">
            <v>Child</v>
          </cell>
          <cell r="F60">
            <v>76.023809523809518</v>
          </cell>
        </row>
        <row r="61">
          <cell r="B61" t="str">
            <v>Middle Age</v>
          </cell>
          <cell r="C61">
            <v>74.891566265060234</v>
          </cell>
          <cell r="E61" t="str">
            <v>Adult</v>
          </cell>
          <cell r="F61">
            <v>75.537313432835816</v>
          </cell>
        </row>
        <row r="62">
          <cell r="B62" t="str">
            <v>Youth</v>
          </cell>
          <cell r="C62">
            <v>74.578947368421055</v>
          </cell>
          <cell r="E62" t="str">
            <v>Middle Age</v>
          </cell>
          <cell r="F62">
            <v>74.891566265060234</v>
          </cell>
        </row>
        <row r="63">
          <cell r="B63" t="str">
            <v>Infant</v>
          </cell>
          <cell r="C63">
            <v>74.235294117647058</v>
          </cell>
          <cell r="E63" t="str">
            <v>Youth</v>
          </cell>
          <cell r="F63">
            <v>74.578947368421055</v>
          </cell>
        </row>
        <row r="64">
          <cell r="B64" t="str">
            <v>Teenager</v>
          </cell>
          <cell r="C64">
            <v>73.933333333333337</v>
          </cell>
          <cell r="E64" t="str">
            <v>Infant</v>
          </cell>
          <cell r="F64">
            <v>74.235294117647058</v>
          </cell>
        </row>
        <row r="65">
          <cell r="B65" t="str">
            <v>Grand Total</v>
          </cell>
          <cell r="C65">
            <v>75.34</v>
          </cell>
          <cell r="E65" t="str">
            <v>Teenager</v>
          </cell>
          <cell r="F65">
            <v>73.933333333333337</v>
          </cell>
        </row>
        <row r="66">
          <cell r="E66" t="str">
            <v>Grand Total</v>
          </cell>
          <cell r="F66">
            <v>75.34</v>
          </cell>
        </row>
      </sheetData>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 Analysis"/>
    </sheetNames>
    <sheetDataSet>
      <sheetData sheetId="0">
        <row r="4">
          <cell r="B4">
            <v>400</v>
          </cell>
          <cell r="C4">
            <v>5051.5249999999996</v>
          </cell>
          <cell r="D4">
            <v>45.005000000000003</v>
          </cell>
          <cell r="E4">
            <v>5.3525</v>
          </cell>
          <cell r="F4">
            <v>75.34</v>
          </cell>
        </row>
        <row r="9">
          <cell r="C9" t="str">
            <v>Average of Recovery Score</v>
          </cell>
        </row>
        <row r="10">
          <cell r="B10" t="str">
            <v>Neurology</v>
          </cell>
          <cell r="C10">
            <v>74.982456140350877</v>
          </cell>
        </row>
        <row r="11">
          <cell r="B11" t="str">
            <v>Grand Total</v>
          </cell>
          <cell r="C11">
            <v>74.982456140350877</v>
          </cell>
        </row>
        <row r="22">
          <cell r="C22" t="str">
            <v>Average of Recovery Score</v>
          </cell>
        </row>
        <row r="23">
          <cell r="B23" t="str">
            <v>Dr. Smith</v>
          </cell>
          <cell r="C23">
            <v>69.777777777777771</v>
          </cell>
        </row>
        <row r="24">
          <cell r="B24" t="str">
            <v>Dr. Rodriguez</v>
          </cell>
          <cell r="C24">
            <v>72.781818181818181</v>
          </cell>
        </row>
        <row r="25">
          <cell r="B25" t="str">
            <v>Dr. Martinez</v>
          </cell>
          <cell r="C25">
            <v>73.5</v>
          </cell>
        </row>
        <row r="26">
          <cell r="B26" t="str">
            <v>Dr. Davis</v>
          </cell>
          <cell r="C26">
            <v>74.893617021276597</v>
          </cell>
        </row>
        <row r="27">
          <cell r="B27" t="str">
            <v>Dr. Brown</v>
          </cell>
          <cell r="C27">
            <v>75.290322580645167</v>
          </cell>
        </row>
        <row r="28">
          <cell r="B28" t="str">
            <v>Dr. Williams</v>
          </cell>
          <cell r="C28">
            <v>76.375</v>
          </cell>
        </row>
        <row r="29">
          <cell r="B29" t="str">
            <v>Dr. Garcia</v>
          </cell>
          <cell r="C29">
            <v>76.804878048780495</v>
          </cell>
        </row>
        <row r="30">
          <cell r="B30" t="str">
            <v>Dr. Jones</v>
          </cell>
          <cell r="C30">
            <v>76.906976744186053</v>
          </cell>
        </row>
        <row r="31">
          <cell r="B31" t="str">
            <v>Dr. Miller</v>
          </cell>
          <cell r="C31">
            <v>77.230769230769226</v>
          </cell>
        </row>
        <row r="32">
          <cell r="B32" t="str">
            <v>Dr. Johnson</v>
          </cell>
          <cell r="C32">
            <v>78.510638297872347</v>
          </cell>
        </row>
        <row r="33">
          <cell r="B33" t="str">
            <v>Grand Total</v>
          </cell>
          <cell r="C33">
            <v>75.34</v>
          </cell>
        </row>
        <row r="38">
          <cell r="C38" t="str">
            <v xml:space="preserve"> No of Patient </v>
          </cell>
        </row>
        <row r="39">
          <cell r="B39" t="str">
            <v>Female</v>
          </cell>
          <cell r="C39">
            <v>189</v>
          </cell>
        </row>
        <row r="40">
          <cell r="B40" t="str">
            <v>Male</v>
          </cell>
          <cell r="C40">
            <v>206</v>
          </cell>
        </row>
        <row r="41">
          <cell r="B41" t="str">
            <v>Other</v>
          </cell>
          <cell r="C41">
            <v>5</v>
          </cell>
        </row>
        <row r="42">
          <cell r="B42" t="str">
            <v>Grand Total</v>
          </cell>
          <cell r="C42">
            <v>400</v>
          </cell>
        </row>
        <row r="71">
          <cell r="C71" t="str">
            <v>Count of Patient ID</v>
          </cell>
        </row>
        <row r="72">
          <cell r="B72" t="str">
            <v>High Cost</v>
          </cell>
          <cell r="C72">
            <v>81</v>
          </cell>
        </row>
        <row r="73">
          <cell r="B73" t="str">
            <v>Low Cost</v>
          </cell>
          <cell r="C73">
            <v>319</v>
          </cell>
        </row>
        <row r="74">
          <cell r="B74" t="str">
            <v>Grand Total</v>
          </cell>
          <cell r="C74">
            <v>400</v>
          </cell>
        </row>
      </sheetData>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ufunmilola Lanade" refreshedDate="46129.710428819446" backgroundQuery="1" createdVersion="3" refreshedVersion="8" minRefreshableVersion="3" recordCount="0" supportSubquery="1" supportAdvancedDrill="1" xr:uid="{30FAD794-38C3-49B9-BE52-F84664911341}">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Hospital_Data].[Patient ID]" caption="Patient ID" attribute="1" defaultMemberUniqueName="[Hospital_Data].[Patient ID].[All]" allUniqueName="[Hospital_Data].[Patient ID].[All]" dimensionUniqueName="[Hospital_Data]" displayFolder="" count="0" memberValueDatatype="130" unbalanced="0"/>
    <cacheHierarchy uniqueName="[Hospital_Data].[Department]" caption="Department" attribute="1" defaultMemberUniqueName="[Hospital_Data].[Department].[All]" allUniqueName="[Hospital_Data].[Department].[All]" dimensionUniqueName="[Hospital_Data]" displayFolder="" count="0" memberValueDatatype="130" unbalanced="0"/>
    <cacheHierarchy uniqueName="[Hospital_Data].[Treatment Type]" caption="Treatment Type" attribute="1" defaultMemberUniqueName="[Hospital_Data].[Treatment Type].[All]" allUniqueName="[Hospital_Data].[Treatment Type].[All]" dimensionUniqueName="[Hospital_Data]" displayFolder="" count="0" memberValueDatatype="130" unbalanced="0"/>
    <cacheHierarchy uniqueName="[Hospital_Data].[Doctor Name]" caption="Doctor Name" attribute="1" defaultMemberUniqueName="[Hospital_Data].[Doctor Name].[All]" allUniqueName="[Hospital_Data].[Doctor Name].[All]" dimensionUniqueName="[Hospital_Data]" displayFolder="" count="0" memberValueDatatype="130" unbalanced="0"/>
    <cacheHierarchy uniqueName="[Hospital_Data].[Gender]" caption="Gender" attribute="1" defaultMemberUniqueName="[Hospital_Data].[Gender].[All]" allUniqueName="[Hospital_Data].[Gender].[All]" dimensionUniqueName="[Hospital_Data]" displayFolder="" count="0" memberValueDatatype="130" unbalanced="0"/>
    <cacheHierarchy uniqueName="[Hospital_Data].[Age]" caption="Age" attribute="1" defaultMemberUniqueName="[Hospital_Data].[Age].[All]" allUniqueName="[Hospital_Data].[Age].[All]" dimensionUniqueName="[Hospital_Data]" displayFolder="" count="0" memberValueDatatype="20" unbalanced="0"/>
    <cacheHierarchy uniqueName="[Hospital_Data].[Treatment Cost]" caption="Treatment Cost" attribute="1" defaultMemberUniqueName="[Hospital_Data].[Treatment Cost].[All]" allUniqueName="[Hospital_Data].[Treatment Cost].[All]" dimensionUniqueName="[Hospital_Data]" displayFolder="" count="0" memberValueDatatype="20" unbalanced="0"/>
    <cacheHierarchy uniqueName="[Hospital_Data].[Hospital Stay (Days)]" caption="Hospital Stay (Days)" attribute="1" defaultMemberUniqueName="[Hospital_Data].[Hospital Stay (Days)].[All]" allUniqueName="[Hospital_Data].[Hospital Stay (Days)].[All]" dimensionUniqueName="[Hospital_Data]" displayFolder="" count="0" memberValueDatatype="20" unbalanced="0"/>
    <cacheHierarchy uniqueName="[Hospital_Data].[Recovery Score]" caption="Recovery Score" attribute="1" defaultMemberUniqueName="[Hospital_Data].[Recovery Score].[All]" allUniqueName="[Hospital_Data].[Recovery Score].[All]" dimensionUniqueName="[Hospital_Data]" displayFolder="" count="0" memberValueDatatype="20" unbalanced="0"/>
    <cacheHierarchy uniqueName="[Hospital_Data].[Age Group]" caption="Age Group" attribute="1" defaultMemberUniqueName="[Hospital_Data].[Age Group].[All]" allUniqueName="[Hospital_Data].[Age Group].[All]" dimensionUniqueName="[Hospital_Data]" displayFolder="" count="0" memberValueDatatype="130" unbalanced="0"/>
    <cacheHierarchy uniqueName="[Hospital_Data].[Age Group 2]" caption="Age Group 2" attribute="1" defaultMemberUniqueName="[Hospital_Data].[Age Group 2].[All]" allUniqueName="[Hospital_Data].[Age Group 2].[All]" dimensionUniqueName="[Hospital_Data]" displayFolder="" count="0" memberValueDatatype="130" unbalanced="0"/>
    <cacheHierarchy uniqueName="[Hospital_Data].[Cost Category]" caption="Cost Category" attribute="1" defaultMemberUniqueName="[Hospital_Data].[Cost Category].[All]" allUniqueName="[Hospital_Data].[Cost Category].[All]" dimensionUniqueName="[Hospital_Data]" displayFolder="" count="0" memberValueDatatype="130" unbalanced="0"/>
    <cacheHierarchy uniqueName="[Hospital_Data].[Recovery Category]" caption="Recovery Category" attribute="1" defaultMemberUniqueName="[Hospital_Data].[Recovery Category].[All]" allUniqueName="[Hospital_Data].[Recovery Category].[All]" dimensionUniqueName="[Hospital_Data]" displayFolder="" count="0" memberValueDatatype="130" unbalanced="0"/>
    <cacheHierarchy uniqueName="[Measures].[__XL_Count Hospital_Data]" caption="__XL_Count Hospital_Data" measure="1" displayFolder="" measureGroup="Hospital_Data" count="0" hidden="1"/>
    <cacheHierarchy uniqueName="[Measures].[__No measures defined]" caption="__No measures defined" measure="1" displayFolder="" count="0" hidden="1"/>
    <cacheHierarchy uniqueName="[Measures].[Count of Patient ID]" caption="Count of Patient ID" measure="1" displayFolder="" measureGroup="Hospital_Data" count="0" hidden="1">
      <extLst>
        <ext xmlns:x15="http://schemas.microsoft.com/office/spreadsheetml/2010/11/main" uri="{B97F6D7D-B522-45F9-BDA1-12C45D357490}">
          <x15:cacheHierarchy aggregatedColumn="0"/>
        </ext>
      </extLst>
    </cacheHierarchy>
    <cacheHierarchy uniqueName="[Measures].[Sum of Treatment Cost]" caption="Sum of Treatment Cost" measure="1" displayFolder="" measureGroup="Hospital_Data" count="0" hidden="1">
      <extLst>
        <ext xmlns:x15="http://schemas.microsoft.com/office/spreadsheetml/2010/11/main" uri="{B97F6D7D-B522-45F9-BDA1-12C45D357490}">
          <x15:cacheHierarchy aggregatedColumn="6"/>
        </ext>
      </extLst>
    </cacheHierarchy>
    <cacheHierarchy uniqueName="[Measures].[Average of Treatment Cost]" caption="Average of Treatment Cost" measure="1" displayFolder="" measureGroup="Hospital_Data"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Hospital_Data"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Hospital_Data" count="0" hidden="1">
      <extLst>
        <ext xmlns:x15="http://schemas.microsoft.com/office/spreadsheetml/2010/11/main" uri="{B97F6D7D-B522-45F9-BDA1-12C45D357490}">
          <x15:cacheHierarchy aggregatedColumn="5"/>
        </ext>
      </extLst>
    </cacheHierarchy>
    <cacheHierarchy uniqueName="[Measures].[Sum of Hospital Stay (Days)]" caption="Sum of Hospital Stay (Days)" measure="1" displayFolder="" measureGroup="Hospital_Data" count="0" hidden="1">
      <extLst>
        <ext xmlns:x15="http://schemas.microsoft.com/office/spreadsheetml/2010/11/main" uri="{B97F6D7D-B522-45F9-BDA1-12C45D357490}">
          <x15:cacheHierarchy aggregatedColumn="7"/>
        </ext>
      </extLst>
    </cacheHierarchy>
    <cacheHierarchy uniqueName="[Measures].[Average of Hospital Stay (Days)]" caption="Average of Hospital Stay (Days)" measure="1" displayFolder="" measureGroup="Hospital_Data" count="0" hidden="1">
      <extLst>
        <ext xmlns:x15="http://schemas.microsoft.com/office/spreadsheetml/2010/11/main" uri="{B97F6D7D-B522-45F9-BDA1-12C45D357490}">
          <x15:cacheHierarchy aggregatedColumn="7"/>
        </ext>
      </extLst>
    </cacheHierarchy>
    <cacheHierarchy uniqueName="[Measures].[Sum of Recovery Score]" caption="Sum of Recovery Score" measure="1" displayFolder="" measureGroup="Hospital_Data" count="0" hidden="1">
      <extLst>
        <ext xmlns:x15="http://schemas.microsoft.com/office/spreadsheetml/2010/11/main" uri="{B97F6D7D-B522-45F9-BDA1-12C45D357490}">
          <x15:cacheHierarchy aggregatedColumn="8"/>
        </ext>
      </extLst>
    </cacheHierarchy>
    <cacheHierarchy uniqueName="[Measures].[Average of Recovery Score]" caption="Average of Recovery Score" measure="1" displayFolder="" measureGroup="Hospital_Data" count="0" hidden="1">
      <extLst>
        <ext xmlns:x15="http://schemas.microsoft.com/office/spreadsheetml/2010/11/main" uri="{B97F6D7D-B522-45F9-BDA1-12C45D357490}">
          <x15:cacheHierarchy aggregatedColumn="8"/>
        </ext>
      </extLst>
    </cacheHierarchy>
    <cacheHierarchy uniqueName="[Measures].[Count of Hospital Stay (Days)]" caption="Count of Hospital Stay (Days)" measure="1" displayFolder="" measureGroup="Hospital_Data" count="0" hidden="1">
      <extLst>
        <ext xmlns:x15="http://schemas.microsoft.com/office/spreadsheetml/2010/11/main" uri="{B97F6D7D-B522-45F9-BDA1-12C45D357490}">
          <x15:cacheHierarchy aggregatedColumn="7"/>
        </ext>
      </extLst>
    </cacheHierarchy>
  </cacheHierarchies>
  <kpis count="0"/>
  <dimensions count="2">
    <dimension name="Hospital_Data" uniqueName="[Hospital_Data]" caption="Hospital_Data"/>
    <dimension measure="1" name="Measures" uniqueName="[Measures]" caption="Measures"/>
  </dimensions>
  <measureGroups count="1">
    <measureGroup name="Hospital_Data" caption="Hospital_Data"/>
  </measureGroups>
  <maps count="1">
    <map measureGroup="0" dimension="0"/>
  </maps>
  <extLst>
    <ext xmlns:x14="http://schemas.microsoft.com/office/spreadsheetml/2009/9/main" uri="{725AE2AE-9491-48be-B2B4-4EB974FC3084}">
      <x14:pivotCacheDefinition slicerData="1" pivotCacheId="1550930204"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D075652-D36D-4991-A08E-F3BDF81491AE}" sourceName="[Hospital_Data].[Gender]">
  <data>
    <olap pivotCacheId="1550930204">
      <levels count="2">
        <level uniqueName="[Hospital_Data].[Gender].[(All)]" sourceCaption="(All)" count="0"/>
        <level uniqueName="[Hospital_Data].[Gender].[Gender]" sourceCaption="Gender" count="3">
          <ranges>
            <range startItem="0">
              <i n="[Hospital_Data].[Gender].&amp;[Female]" c="Female"/>
              <i n="[Hospital_Data].[Gender].&amp;[Male]" c="Male"/>
              <i n="[Hospital_Data].[Gender].&amp;[Other]" c="Other"/>
            </range>
          </ranges>
        </level>
      </levels>
      <selections count="1">
        <selection n="[Hospital_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DD5707B5-C354-411B-9343-747207923632}" sourceName="[Hospital_Data].[Doctor Name]">
  <data>
    <olap pivotCacheId="1550930204">
      <levels count="2">
        <level uniqueName="[Hospital_Data].[Doctor Name].[(All)]" sourceCaption="(All)" count="0"/>
        <level uniqueName="[Hospital_Data].[Doctor Name].[Doctor Name]" sourceCaption="Doctor Name" count="10">
          <ranges>
            <range startItem="0">
              <i n="[Hospital_Data].[Doctor Name].&amp;[Dr. Brown]" c="Dr. Brown"/>
              <i n="[Hospital_Data].[Doctor Name].&amp;[Dr. Davis]" c="Dr. Davis"/>
              <i n="[Hospital_Data].[Doctor Name].&amp;[Dr. Garcia]" c="Dr. Garcia"/>
              <i n="[Hospital_Data].[Doctor Name].&amp;[Dr. Johnson]" c="Dr. Johnson"/>
              <i n="[Hospital_Data].[Doctor Name].&amp;[Dr. Jones]" c="Dr. Jones"/>
              <i n="[Hospital_Data].[Doctor Name].&amp;[Dr. Martinez]" c="Dr. Martinez"/>
              <i n="[Hospital_Data].[Doctor Name].&amp;[Dr. Miller]" c="Dr. Miller"/>
              <i n="[Hospital_Data].[Doctor Name].&amp;[Dr. Rodriguez]" c="Dr. Rodriguez"/>
              <i n="[Hospital_Data].[Doctor Name].&amp;[Dr. Smith]" c="Dr. Smith"/>
              <i n="[Hospital_Data].[Doctor Name].&amp;[Dr. Williams]" c="Dr. Williams"/>
            </range>
          </ranges>
        </level>
      </levels>
      <selections count="1">
        <selection n="[Hospital_Data].[Doctor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0905C65E-AE1E-4AF6-B280-0807B211A3ED}" sourceName="[Hospital_Data].[Treatment Type]">
  <data>
    <olap pivotCacheId="1550930204">
      <levels count="2">
        <level uniqueName="[Hospital_Data].[Treatment Type].[(All)]" sourceCaption="(All)" count="0"/>
        <level uniqueName="[Hospital_Data].[Treatment Type].[Treatment Type]" sourceCaption="Treatment Type" count="4">
          <ranges>
            <range startItem="0">
              <i n="[Hospital_Data].[Treatment Type].&amp;[Medication]" c="Medication"/>
              <i n="[Hospital_Data].[Treatment Type].&amp;[Observation]" c="Observation"/>
              <i n="[Hospital_Data].[Treatment Type].&amp;[Surgery]" c="Surgery"/>
              <i n="[Hospital_Data].[Treatment Type].&amp;[Therapy]" c="Therapy"/>
            </range>
          </ranges>
        </level>
      </levels>
      <selections count="1">
        <selection n="[Hospital_Data].[Treatment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F2F6C71-9DF9-458A-B709-F0941FCFA12A}" sourceName="[Hospital_Data].[Department]">
  <data>
    <olap pivotCacheId="1550930204">
      <levels count="2">
        <level uniqueName="[Hospital_Data].[Department].[(All)]" sourceCaption="(All)" count="0"/>
        <level uniqueName="[Hospital_Data].[Department].[Department]" sourceCaption="Department" count="7">
          <ranges>
            <range startItem="0">
              <i n="[Hospital_Data].[Department].&amp;[Cardiology]" c="Cardiology"/>
              <i n="[Hospital_Data].[Department].&amp;[Dermatology]" c="Dermatology"/>
              <i n="[Hospital_Data].[Department].&amp;[General Medicine]" c="General Medicine"/>
              <i n="[Hospital_Data].[Department].&amp;[Neurology]" c="Neurology"/>
              <i n="[Hospital_Data].[Department].&amp;[Oncology]" c="Oncology"/>
              <i n="[Hospital_Data].[Department].&amp;[Orthopedics]" c="Orthopedics"/>
              <i n="[Hospital_Data].[Department].&amp;[Pediatrics]" c="Pediatrics"/>
            </range>
          </ranges>
        </level>
      </levels>
      <selections count="1">
        <selection n="[Hospital_Data].[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2C5D8FA-D924-49B7-93A8-D7DA9B2509D3}" cache="Slicer_Gender" caption="Gender" level="1" style="SlicerStyleDark1" rowHeight="241300"/>
  <slicer name="Doctor Name" xr10:uid="{6D78F819-BDDC-4330-911A-E5005C71D79C}" cache="Slicer_Doctor_Name" caption="Doctor Name" level="1" style="SlicerStyleDark1" rowHeight="241300"/>
  <slicer name="Treatment Type" xr10:uid="{86E26EF5-C1E1-45A7-896C-8BEF9C44D1D0}" cache="Slicer_Treatment_Type" caption="Treatment Type" startItem="2" level="1" style="SlicerStyleDark1" rowHeight="241300"/>
  <slicer name="Department" xr10:uid="{B6D6FB7C-C293-4441-B1B0-FFA7302BC015}" cache="Slicer_Department" caption="Department"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35687-E562-4E3C-A2C4-B1AAFF9CB0D8}" name="Hospital_Data" displayName="Hospital_Data" ref="A1:M401">
  <autoFilter ref="A1:M401" xr:uid="{00000000-0009-0000-0100-000001000000}"/>
  <tableColumns count="13">
    <tableColumn id="1" xr3:uid="{D57FFB08-0751-45DE-AAE6-E9FC030E57CD}" name="Patient ID"/>
    <tableColumn id="2" xr3:uid="{2B867801-703F-4BCA-B429-53B154F6F078}" name="Department"/>
    <tableColumn id="3" xr3:uid="{5C0419AC-77E4-4D25-A9C6-45459C5491AC}" name="Treatment Type"/>
    <tableColumn id="4" xr3:uid="{57DB1D31-4575-4C73-996E-4AD000AD6599}" name="Doctor Name"/>
    <tableColumn id="5" xr3:uid="{F21D05D1-CF43-43F4-803B-B49F8A84EA13}" name="Gender"/>
    <tableColumn id="6" xr3:uid="{354CE6CD-8530-473A-B52E-C59C0A36CE7F}" name="Age"/>
    <tableColumn id="7" xr3:uid="{3C8D658D-9C1C-43BC-A723-2247CD910811}" name="Treatment Cost"/>
    <tableColumn id="8" xr3:uid="{A4A7054D-B718-4D87-9C1E-E482A808D027}" name="Hospital Stay (Days)" dataDxfId="3"/>
    <tableColumn id="9" xr3:uid="{5D7AF8DE-1232-4BE4-B899-65C6CF894A51}" name="Recovery Score" dataDxfId="2"/>
    <tableColumn id="10" xr3:uid="{7D27CB10-F61B-487E-B450-6E610CAE4C76}" name="Age Group">
      <calculatedColumnFormula>IF(F2&lt;=20,"0-20",IF(F2&lt;=40,"21-40",IF(F2&lt;=60,"41-60","61+")))</calculatedColumnFormula>
    </tableColumn>
    <tableColumn id="13" xr3:uid="{B6298977-3D3C-4409-913D-2650F066B08B}" name="Age Group 2" dataDxfId="1">
      <calculatedColumnFormula>IF(F2&lt;=5,"Infant",IF(F2&lt;=12,"Child",IF(F2&lt;=19,"Teenager",IF(F2&lt;=29,"Youth",IF(F2&lt;=44,"Adult",IF(F2&lt;=60,"Middle Age",IF(F2&gt;60,"Elderly")))))))</calculatedColumnFormula>
    </tableColumn>
    <tableColumn id="11" xr3:uid="{1023D104-AD44-41E1-A229-0EF3AB7D5A1D}" name="Cost Category" dataDxfId="0">
      <calculatedColumnFormula>IF(G2&gt;=7500,"High Cost","Low Cost")</calculatedColumnFormula>
    </tableColumn>
    <tableColumn id="12" xr3:uid="{EA23DFA8-E8E0-4E33-88C9-B2094468E506}" name="Recovery Category">
      <calculatedColumnFormula>IF(I2&gt;=80,"Excellent",IF(I2&gt;=60,"Good","Poor"))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2F32-2E4A-4B53-AE2D-8844F7CEB674}">
  <dimension ref="A1:M401"/>
  <sheetViews>
    <sheetView topLeftCell="C1" workbookViewId="0">
      <pane ySplit="1" topLeftCell="A2" activePane="bottomLeft" state="frozen"/>
      <selection pane="bottomLeft" activeCell="I2" sqref="I2"/>
    </sheetView>
  </sheetViews>
  <sheetFormatPr defaultRowHeight="14.5" x14ac:dyDescent="0.35"/>
  <cols>
    <col min="1" max="1" width="12" customWidth="1"/>
    <col min="2" max="2" width="18" customWidth="1"/>
    <col min="3" max="3" width="17" customWidth="1"/>
    <col min="4" max="4" width="16" customWidth="1"/>
    <col min="5" max="5" width="12" customWidth="1"/>
    <col min="6" max="6" width="10" customWidth="1"/>
    <col min="7" max="7" width="18.54296875" bestFit="1" customWidth="1"/>
    <col min="8" max="8" width="22.1796875" style="10" bestFit="1" customWidth="1"/>
    <col min="9" max="9" width="18" style="10" bestFit="1" customWidth="1"/>
    <col min="10" max="10" width="14.1796875" bestFit="1" customWidth="1"/>
    <col min="11" max="11" width="17.453125" bestFit="1" customWidth="1"/>
    <col min="12" max="12" width="17" bestFit="1" customWidth="1"/>
    <col min="13" max="13" width="18" customWidth="1"/>
    <col min="14" max="14" width="14.453125" customWidth="1"/>
  </cols>
  <sheetData>
    <row r="1" spans="1:13" ht="22" customHeight="1" thickBot="1" x14ac:dyDescent="0.4">
      <c r="A1" s="6" t="s">
        <v>1</v>
      </c>
      <c r="B1" s="6" t="s">
        <v>2</v>
      </c>
      <c r="C1" s="6" t="s">
        <v>3</v>
      </c>
      <c r="D1" s="6" t="s">
        <v>4</v>
      </c>
      <c r="E1" s="6" t="s">
        <v>5</v>
      </c>
      <c r="F1" s="6" t="s">
        <v>6</v>
      </c>
      <c r="G1" s="6" t="s">
        <v>7</v>
      </c>
      <c r="H1" s="7" t="s">
        <v>8</v>
      </c>
      <c r="I1" s="7" t="s">
        <v>9</v>
      </c>
      <c r="J1" s="6" t="s">
        <v>10</v>
      </c>
      <c r="K1" s="8" t="s">
        <v>11</v>
      </c>
      <c r="L1" s="6" t="s">
        <v>12</v>
      </c>
      <c r="M1" s="6" t="s">
        <v>13</v>
      </c>
    </row>
    <row r="2" spans="1:13" x14ac:dyDescent="0.35">
      <c r="A2" t="s">
        <v>14</v>
      </c>
      <c r="B2" t="s">
        <v>15</v>
      </c>
      <c r="C2" t="s">
        <v>16</v>
      </c>
      <c r="D2" t="s">
        <v>17</v>
      </c>
      <c r="E2" t="s">
        <v>18</v>
      </c>
      <c r="F2">
        <v>32</v>
      </c>
      <c r="G2" s="9">
        <v>8657</v>
      </c>
      <c r="H2" s="10">
        <v>7</v>
      </c>
      <c r="I2" s="10">
        <v>97</v>
      </c>
      <c r="J2" t="str">
        <f t="shared" ref="J2:J65" si="0">IF(F2&lt;=20,"0-20",IF(F2&lt;=40,"21-40",IF(F2&lt;=60,"41-60","61+")))</f>
        <v>21-40</v>
      </c>
      <c r="K2" t="str">
        <f t="shared" ref="K2:K65" si="1">IF(F2&lt;=5,"Infant",IF(F2&lt;=12,"Child",IF(F2&lt;=19,"Teenager",IF(F2&lt;=29,"Youth",IF(F2&lt;=44,"Adult",IF(F2&lt;=60,"Middle Age",IF(F2&gt;60,"Elderly")))))))</f>
        <v>Adult</v>
      </c>
      <c r="L2" t="str">
        <f t="shared" ref="L2:L65" si="2">IF(G2&gt;=7500,"High Cost","Low Cost")</f>
        <v>High Cost</v>
      </c>
      <c r="M2" t="str">
        <f t="shared" ref="M2:M65" si="3">IF(I2&gt;=80,"Excellent",IF(I2&gt;=60,"Good","Poor"))</f>
        <v>Excellent</v>
      </c>
    </row>
    <row r="3" spans="1:13" x14ac:dyDescent="0.35">
      <c r="A3" t="s">
        <v>19</v>
      </c>
      <c r="B3" t="s">
        <v>20</v>
      </c>
      <c r="C3" t="s">
        <v>16</v>
      </c>
      <c r="D3" t="s">
        <v>21</v>
      </c>
      <c r="E3" t="s">
        <v>22</v>
      </c>
      <c r="F3">
        <v>4</v>
      </c>
      <c r="G3" s="9">
        <v>6535</v>
      </c>
      <c r="H3" s="10">
        <v>8</v>
      </c>
      <c r="I3" s="10">
        <v>64</v>
      </c>
      <c r="J3" t="str">
        <f t="shared" si="0"/>
        <v>0-20</v>
      </c>
      <c r="K3" t="str">
        <f t="shared" si="1"/>
        <v>Infant</v>
      </c>
      <c r="L3" t="str">
        <f t="shared" si="2"/>
        <v>Low Cost</v>
      </c>
      <c r="M3" t="str">
        <f t="shared" si="3"/>
        <v>Good</v>
      </c>
    </row>
    <row r="4" spans="1:13" x14ac:dyDescent="0.35">
      <c r="A4" t="s">
        <v>23</v>
      </c>
      <c r="B4" t="s">
        <v>24</v>
      </c>
      <c r="C4" t="s">
        <v>16</v>
      </c>
      <c r="D4" t="s">
        <v>25</v>
      </c>
      <c r="E4" t="s">
        <v>22</v>
      </c>
      <c r="F4">
        <v>84</v>
      </c>
      <c r="G4" s="9">
        <v>16490</v>
      </c>
      <c r="H4" s="10">
        <v>13</v>
      </c>
      <c r="I4" s="10">
        <v>76</v>
      </c>
      <c r="J4" t="str">
        <f t="shared" si="0"/>
        <v>61+</v>
      </c>
      <c r="K4" t="str">
        <f t="shared" si="1"/>
        <v>Elderly</v>
      </c>
      <c r="L4" t="str">
        <f t="shared" si="2"/>
        <v>High Cost</v>
      </c>
      <c r="M4" t="str">
        <f t="shared" si="3"/>
        <v>Good</v>
      </c>
    </row>
    <row r="5" spans="1:13" x14ac:dyDescent="0.35">
      <c r="A5" t="s">
        <v>26</v>
      </c>
      <c r="B5" t="s">
        <v>27</v>
      </c>
      <c r="C5" t="s">
        <v>28</v>
      </c>
      <c r="D5" t="s">
        <v>21</v>
      </c>
      <c r="E5" t="s">
        <v>22</v>
      </c>
      <c r="F5">
        <v>1</v>
      </c>
      <c r="G5" s="9">
        <v>1754</v>
      </c>
      <c r="H5" s="10">
        <v>1</v>
      </c>
      <c r="I5" s="10">
        <v>94</v>
      </c>
      <c r="J5" t="str">
        <f t="shared" si="0"/>
        <v>0-20</v>
      </c>
      <c r="K5" t="str">
        <f t="shared" si="1"/>
        <v>Infant</v>
      </c>
      <c r="L5" t="str">
        <f t="shared" si="2"/>
        <v>Low Cost</v>
      </c>
      <c r="M5" t="str">
        <f t="shared" si="3"/>
        <v>Excellent</v>
      </c>
    </row>
    <row r="6" spans="1:13" x14ac:dyDescent="0.35">
      <c r="A6" t="s">
        <v>29</v>
      </c>
      <c r="B6" t="s">
        <v>30</v>
      </c>
      <c r="C6" t="s">
        <v>31</v>
      </c>
      <c r="D6" t="s">
        <v>32</v>
      </c>
      <c r="E6" t="s">
        <v>22</v>
      </c>
      <c r="F6">
        <v>44</v>
      </c>
      <c r="G6" s="9">
        <v>1837</v>
      </c>
      <c r="H6" s="10">
        <v>3</v>
      </c>
      <c r="I6" s="10">
        <v>74</v>
      </c>
      <c r="J6" t="str">
        <f t="shared" si="0"/>
        <v>41-60</v>
      </c>
      <c r="K6" t="str">
        <f t="shared" si="1"/>
        <v>Adult</v>
      </c>
      <c r="L6" t="str">
        <f t="shared" si="2"/>
        <v>Low Cost</v>
      </c>
      <c r="M6" t="str">
        <f t="shared" si="3"/>
        <v>Good</v>
      </c>
    </row>
    <row r="7" spans="1:13" x14ac:dyDescent="0.35">
      <c r="A7" t="s">
        <v>33</v>
      </c>
      <c r="B7" t="s">
        <v>20</v>
      </c>
      <c r="C7" t="s">
        <v>31</v>
      </c>
      <c r="D7" t="s">
        <v>34</v>
      </c>
      <c r="E7" t="s">
        <v>18</v>
      </c>
      <c r="F7">
        <v>6</v>
      </c>
      <c r="G7" s="9">
        <v>6977</v>
      </c>
      <c r="H7" s="10">
        <v>9</v>
      </c>
      <c r="I7" s="10">
        <v>84</v>
      </c>
      <c r="J7" t="str">
        <f t="shared" si="0"/>
        <v>0-20</v>
      </c>
      <c r="K7" t="str">
        <f t="shared" si="1"/>
        <v>Child</v>
      </c>
      <c r="L7" t="str">
        <f t="shared" si="2"/>
        <v>Low Cost</v>
      </c>
      <c r="M7" t="str">
        <f t="shared" si="3"/>
        <v>Excellent</v>
      </c>
    </row>
    <row r="8" spans="1:13" x14ac:dyDescent="0.35">
      <c r="A8" t="s">
        <v>35</v>
      </c>
      <c r="B8" t="s">
        <v>20</v>
      </c>
      <c r="C8" t="s">
        <v>28</v>
      </c>
      <c r="D8" t="s">
        <v>36</v>
      </c>
      <c r="E8" t="s">
        <v>18</v>
      </c>
      <c r="F8">
        <v>81</v>
      </c>
      <c r="G8" s="9">
        <v>1466</v>
      </c>
      <c r="H8" s="10">
        <v>2</v>
      </c>
      <c r="I8" s="10">
        <v>86</v>
      </c>
      <c r="J8" t="str">
        <f t="shared" si="0"/>
        <v>61+</v>
      </c>
      <c r="K8" t="str">
        <f t="shared" si="1"/>
        <v>Elderly</v>
      </c>
      <c r="L8" t="str">
        <f t="shared" si="2"/>
        <v>Low Cost</v>
      </c>
      <c r="M8" t="str">
        <f t="shared" si="3"/>
        <v>Excellent</v>
      </c>
    </row>
    <row r="9" spans="1:13" x14ac:dyDescent="0.35">
      <c r="A9" t="s">
        <v>37</v>
      </c>
      <c r="B9" t="s">
        <v>27</v>
      </c>
      <c r="C9" t="s">
        <v>16</v>
      </c>
      <c r="D9" t="s">
        <v>17</v>
      </c>
      <c r="E9" t="s">
        <v>18</v>
      </c>
      <c r="F9">
        <v>38</v>
      </c>
      <c r="G9" s="9">
        <v>6307</v>
      </c>
      <c r="H9" s="10">
        <v>8</v>
      </c>
      <c r="I9" s="10">
        <v>56</v>
      </c>
      <c r="J9" t="str">
        <f t="shared" si="0"/>
        <v>21-40</v>
      </c>
      <c r="K9" t="str">
        <f t="shared" si="1"/>
        <v>Adult</v>
      </c>
      <c r="L9" t="str">
        <f t="shared" si="2"/>
        <v>Low Cost</v>
      </c>
      <c r="M9" t="str">
        <f t="shared" si="3"/>
        <v>Poor</v>
      </c>
    </row>
    <row r="10" spans="1:13" x14ac:dyDescent="0.35">
      <c r="A10" t="s">
        <v>38</v>
      </c>
      <c r="B10" t="s">
        <v>30</v>
      </c>
      <c r="C10" t="s">
        <v>31</v>
      </c>
      <c r="D10" t="s">
        <v>39</v>
      </c>
      <c r="E10" t="s">
        <v>18</v>
      </c>
      <c r="F10">
        <v>47</v>
      </c>
      <c r="G10" s="9">
        <v>2332</v>
      </c>
      <c r="H10" s="10">
        <v>7</v>
      </c>
      <c r="I10" s="10">
        <v>72</v>
      </c>
      <c r="J10" t="str">
        <f t="shared" si="0"/>
        <v>41-60</v>
      </c>
      <c r="K10" t="str">
        <f t="shared" si="1"/>
        <v>Middle Age</v>
      </c>
      <c r="L10" t="str">
        <f t="shared" si="2"/>
        <v>Low Cost</v>
      </c>
      <c r="M10" t="str">
        <f t="shared" si="3"/>
        <v>Good</v>
      </c>
    </row>
    <row r="11" spans="1:13" x14ac:dyDescent="0.35">
      <c r="A11" t="s">
        <v>40</v>
      </c>
      <c r="B11" t="s">
        <v>27</v>
      </c>
      <c r="C11" t="s">
        <v>31</v>
      </c>
      <c r="D11" t="s">
        <v>36</v>
      </c>
      <c r="E11" t="s">
        <v>18</v>
      </c>
      <c r="F11">
        <v>22</v>
      </c>
      <c r="G11" s="9">
        <v>5375</v>
      </c>
      <c r="H11" s="10">
        <v>5</v>
      </c>
      <c r="I11" s="10">
        <v>60</v>
      </c>
      <c r="J11" t="str">
        <f t="shared" si="0"/>
        <v>21-40</v>
      </c>
      <c r="K11" t="str">
        <f t="shared" si="1"/>
        <v>Youth</v>
      </c>
      <c r="L11" t="str">
        <f t="shared" si="2"/>
        <v>Low Cost</v>
      </c>
      <c r="M11" t="str">
        <f t="shared" si="3"/>
        <v>Good</v>
      </c>
    </row>
    <row r="12" spans="1:13" x14ac:dyDescent="0.35">
      <c r="A12" t="s">
        <v>41</v>
      </c>
      <c r="B12" t="s">
        <v>30</v>
      </c>
      <c r="C12" t="s">
        <v>28</v>
      </c>
      <c r="D12" t="s">
        <v>32</v>
      </c>
      <c r="E12" t="s">
        <v>42</v>
      </c>
      <c r="F12">
        <v>82</v>
      </c>
      <c r="G12" s="9">
        <v>1609</v>
      </c>
      <c r="H12" s="10">
        <v>3</v>
      </c>
      <c r="I12" s="10">
        <v>64</v>
      </c>
      <c r="J12" t="str">
        <f t="shared" si="0"/>
        <v>61+</v>
      </c>
      <c r="K12" t="str">
        <f t="shared" si="1"/>
        <v>Elderly</v>
      </c>
      <c r="L12" t="str">
        <f t="shared" si="2"/>
        <v>Low Cost</v>
      </c>
      <c r="M12" t="str">
        <f t="shared" si="3"/>
        <v>Good</v>
      </c>
    </row>
    <row r="13" spans="1:13" x14ac:dyDescent="0.35">
      <c r="A13" t="s">
        <v>43</v>
      </c>
      <c r="B13" t="s">
        <v>15</v>
      </c>
      <c r="C13" t="s">
        <v>31</v>
      </c>
      <c r="D13" t="s">
        <v>17</v>
      </c>
      <c r="E13" t="s">
        <v>22</v>
      </c>
      <c r="F13">
        <v>5</v>
      </c>
      <c r="G13" s="9">
        <v>3584</v>
      </c>
      <c r="H13" s="10">
        <v>8</v>
      </c>
      <c r="I13" s="10">
        <v>67</v>
      </c>
      <c r="J13" t="str">
        <f t="shared" si="0"/>
        <v>0-20</v>
      </c>
      <c r="K13" t="str">
        <f t="shared" si="1"/>
        <v>Infant</v>
      </c>
      <c r="L13" t="str">
        <f t="shared" si="2"/>
        <v>Low Cost</v>
      </c>
      <c r="M13" t="str">
        <f t="shared" si="3"/>
        <v>Good</v>
      </c>
    </row>
    <row r="14" spans="1:13" x14ac:dyDescent="0.35">
      <c r="A14" t="s">
        <v>44</v>
      </c>
      <c r="B14" t="s">
        <v>20</v>
      </c>
      <c r="C14" t="s">
        <v>45</v>
      </c>
      <c r="D14" t="s">
        <v>21</v>
      </c>
      <c r="E14" t="s">
        <v>18</v>
      </c>
      <c r="F14">
        <v>41</v>
      </c>
      <c r="G14" s="9">
        <v>2241</v>
      </c>
      <c r="H14" s="10">
        <v>4</v>
      </c>
      <c r="I14" s="10">
        <v>75</v>
      </c>
      <c r="J14" t="str">
        <f t="shared" si="0"/>
        <v>41-60</v>
      </c>
      <c r="K14" t="str">
        <f t="shared" si="1"/>
        <v>Adult</v>
      </c>
      <c r="L14" t="str">
        <f t="shared" si="2"/>
        <v>Low Cost</v>
      </c>
      <c r="M14" t="str">
        <f t="shared" si="3"/>
        <v>Good</v>
      </c>
    </row>
    <row r="15" spans="1:13" x14ac:dyDescent="0.35">
      <c r="A15" t="s">
        <v>46</v>
      </c>
      <c r="B15" t="s">
        <v>15</v>
      </c>
      <c r="C15" t="s">
        <v>28</v>
      </c>
      <c r="D15" t="s">
        <v>47</v>
      </c>
      <c r="E15" t="s">
        <v>22</v>
      </c>
      <c r="F15">
        <v>32</v>
      </c>
      <c r="G15" s="9">
        <v>1725</v>
      </c>
      <c r="H15" s="10">
        <v>3</v>
      </c>
      <c r="I15" s="10">
        <v>84</v>
      </c>
      <c r="J15" t="str">
        <f t="shared" si="0"/>
        <v>21-40</v>
      </c>
      <c r="K15" t="str">
        <f t="shared" si="1"/>
        <v>Adult</v>
      </c>
      <c r="L15" t="str">
        <f t="shared" si="2"/>
        <v>Low Cost</v>
      </c>
      <c r="M15" t="str">
        <f t="shared" si="3"/>
        <v>Excellent</v>
      </c>
    </row>
    <row r="16" spans="1:13" x14ac:dyDescent="0.35">
      <c r="A16" t="s">
        <v>48</v>
      </c>
      <c r="B16" t="s">
        <v>49</v>
      </c>
      <c r="C16" t="s">
        <v>28</v>
      </c>
      <c r="D16" t="s">
        <v>21</v>
      </c>
      <c r="E16" t="s">
        <v>22</v>
      </c>
      <c r="F16">
        <v>29</v>
      </c>
      <c r="G16" s="9">
        <v>483</v>
      </c>
      <c r="H16" s="10">
        <v>3</v>
      </c>
      <c r="I16" s="10">
        <v>81</v>
      </c>
      <c r="J16" t="str">
        <f t="shared" si="0"/>
        <v>21-40</v>
      </c>
      <c r="K16" t="str">
        <f t="shared" si="1"/>
        <v>Youth</v>
      </c>
      <c r="L16" t="str">
        <f t="shared" si="2"/>
        <v>Low Cost</v>
      </c>
      <c r="M16" t="str">
        <f t="shared" si="3"/>
        <v>Excellent</v>
      </c>
    </row>
    <row r="17" spans="1:13" x14ac:dyDescent="0.35">
      <c r="A17" t="s">
        <v>50</v>
      </c>
      <c r="B17" t="s">
        <v>20</v>
      </c>
      <c r="C17" t="s">
        <v>16</v>
      </c>
      <c r="D17" t="s">
        <v>36</v>
      </c>
      <c r="E17" t="s">
        <v>22</v>
      </c>
      <c r="F17">
        <v>21</v>
      </c>
      <c r="G17" s="9">
        <v>17977</v>
      </c>
      <c r="H17" s="10">
        <v>15</v>
      </c>
      <c r="I17" s="10">
        <v>77</v>
      </c>
      <c r="J17" t="str">
        <f t="shared" si="0"/>
        <v>21-40</v>
      </c>
      <c r="K17" t="str">
        <f t="shared" si="1"/>
        <v>Youth</v>
      </c>
      <c r="L17" t="str">
        <f t="shared" si="2"/>
        <v>High Cost</v>
      </c>
      <c r="M17" t="str">
        <f t="shared" si="3"/>
        <v>Good</v>
      </c>
    </row>
    <row r="18" spans="1:13" x14ac:dyDescent="0.35">
      <c r="A18" t="s">
        <v>51</v>
      </c>
      <c r="B18" t="s">
        <v>24</v>
      </c>
      <c r="C18" t="s">
        <v>16</v>
      </c>
      <c r="D18" t="s">
        <v>52</v>
      </c>
      <c r="E18" t="s">
        <v>22</v>
      </c>
      <c r="F18">
        <v>60</v>
      </c>
      <c r="G18" s="9">
        <v>13669</v>
      </c>
      <c r="H18" s="10">
        <v>9</v>
      </c>
      <c r="I18" s="10">
        <v>85</v>
      </c>
      <c r="J18" t="str">
        <f t="shared" si="0"/>
        <v>41-60</v>
      </c>
      <c r="K18" t="str">
        <f t="shared" si="1"/>
        <v>Middle Age</v>
      </c>
      <c r="L18" t="str">
        <f t="shared" si="2"/>
        <v>High Cost</v>
      </c>
      <c r="M18" t="str">
        <f t="shared" si="3"/>
        <v>Excellent</v>
      </c>
    </row>
    <row r="19" spans="1:13" x14ac:dyDescent="0.35">
      <c r="A19" t="s">
        <v>53</v>
      </c>
      <c r="B19" t="s">
        <v>54</v>
      </c>
      <c r="C19" t="s">
        <v>16</v>
      </c>
      <c r="D19" t="s">
        <v>36</v>
      </c>
      <c r="E19" t="s">
        <v>18</v>
      </c>
      <c r="F19">
        <v>69</v>
      </c>
      <c r="G19" s="9">
        <v>17302</v>
      </c>
      <c r="H19" s="10">
        <v>9</v>
      </c>
      <c r="I19" s="10">
        <v>99</v>
      </c>
      <c r="J19" t="str">
        <f t="shared" si="0"/>
        <v>61+</v>
      </c>
      <c r="K19" t="str">
        <f t="shared" si="1"/>
        <v>Elderly</v>
      </c>
      <c r="L19" t="str">
        <f t="shared" si="2"/>
        <v>High Cost</v>
      </c>
      <c r="M19" t="str">
        <f t="shared" si="3"/>
        <v>Excellent</v>
      </c>
    </row>
    <row r="20" spans="1:13" x14ac:dyDescent="0.35">
      <c r="A20" t="s">
        <v>55</v>
      </c>
      <c r="B20" t="s">
        <v>15</v>
      </c>
      <c r="C20" t="s">
        <v>31</v>
      </c>
      <c r="D20" t="s">
        <v>36</v>
      </c>
      <c r="E20" t="s">
        <v>22</v>
      </c>
      <c r="F20">
        <v>21</v>
      </c>
      <c r="G20" s="9">
        <v>4716</v>
      </c>
      <c r="H20" s="10">
        <v>2</v>
      </c>
      <c r="I20" s="10">
        <v>96</v>
      </c>
      <c r="J20" t="str">
        <f t="shared" si="0"/>
        <v>21-40</v>
      </c>
      <c r="K20" t="str">
        <f t="shared" si="1"/>
        <v>Youth</v>
      </c>
      <c r="L20" t="str">
        <f t="shared" si="2"/>
        <v>Low Cost</v>
      </c>
      <c r="M20" t="str">
        <f t="shared" si="3"/>
        <v>Excellent</v>
      </c>
    </row>
    <row r="21" spans="1:13" x14ac:dyDescent="0.35">
      <c r="A21" t="s">
        <v>56</v>
      </c>
      <c r="B21" t="s">
        <v>15</v>
      </c>
      <c r="C21" t="s">
        <v>31</v>
      </c>
      <c r="D21" t="s">
        <v>25</v>
      </c>
      <c r="E21" t="s">
        <v>18</v>
      </c>
      <c r="F21">
        <v>65</v>
      </c>
      <c r="G21" s="9">
        <v>1871</v>
      </c>
      <c r="H21" s="10">
        <v>6</v>
      </c>
      <c r="I21" s="10">
        <v>90</v>
      </c>
      <c r="J21" t="str">
        <f t="shared" si="0"/>
        <v>61+</v>
      </c>
      <c r="K21" t="str">
        <f t="shared" si="1"/>
        <v>Elderly</v>
      </c>
      <c r="L21" t="str">
        <f t="shared" si="2"/>
        <v>Low Cost</v>
      </c>
      <c r="M21" t="str">
        <f t="shared" si="3"/>
        <v>Excellent</v>
      </c>
    </row>
    <row r="22" spans="1:13" x14ac:dyDescent="0.35">
      <c r="A22" t="s">
        <v>57</v>
      </c>
      <c r="B22" t="s">
        <v>24</v>
      </c>
      <c r="C22" t="s">
        <v>45</v>
      </c>
      <c r="D22" t="s">
        <v>47</v>
      </c>
      <c r="E22" t="s">
        <v>22</v>
      </c>
      <c r="F22">
        <v>21</v>
      </c>
      <c r="G22" s="9">
        <v>4918</v>
      </c>
      <c r="H22" s="10">
        <v>5</v>
      </c>
      <c r="I22" s="10">
        <v>50</v>
      </c>
      <c r="J22" t="str">
        <f t="shared" si="0"/>
        <v>21-40</v>
      </c>
      <c r="K22" t="str">
        <f t="shared" si="1"/>
        <v>Youth</v>
      </c>
      <c r="L22" t="str">
        <f t="shared" si="2"/>
        <v>Low Cost</v>
      </c>
      <c r="M22" t="str">
        <f t="shared" si="3"/>
        <v>Poor</v>
      </c>
    </row>
    <row r="23" spans="1:13" x14ac:dyDescent="0.35">
      <c r="A23" t="s">
        <v>58</v>
      </c>
      <c r="B23" t="s">
        <v>24</v>
      </c>
      <c r="C23" t="s">
        <v>31</v>
      </c>
      <c r="D23" t="s">
        <v>39</v>
      </c>
      <c r="E23" t="s">
        <v>22</v>
      </c>
      <c r="F23">
        <v>47</v>
      </c>
      <c r="G23" s="9">
        <v>3519</v>
      </c>
      <c r="H23" s="10">
        <v>5</v>
      </c>
      <c r="I23" s="10">
        <v>53</v>
      </c>
      <c r="J23" t="str">
        <f t="shared" si="0"/>
        <v>41-60</v>
      </c>
      <c r="K23" t="str">
        <f t="shared" si="1"/>
        <v>Middle Age</v>
      </c>
      <c r="L23" t="str">
        <f t="shared" si="2"/>
        <v>Low Cost</v>
      </c>
      <c r="M23" t="str">
        <f t="shared" si="3"/>
        <v>Poor</v>
      </c>
    </row>
    <row r="24" spans="1:13" x14ac:dyDescent="0.35">
      <c r="A24" t="s">
        <v>59</v>
      </c>
      <c r="B24" t="s">
        <v>27</v>
      </c>
      <c r="C24" t="s">
        <v>16</v>
      </c>
      <c r="D24" t="s">
        <v>36</v>
      </c>
      <c r="E24" t="s">
        <v>18</v>
      </c>
      <c r="F24">
        <v>9</v>
      </c>
      <c r="G24" s="9">
        <v>17461</v>
      </c>
      <c r="H24" s="10">
        <v>13</v>
      </c>
      <c r="I24" s="10">
        <v>99</v>
      </c>
      <c r="J24" t="str">
        <f t="shared" si="0"/>
        <v>0-20</v>
      </c>
      <c r="K24" t="str">
        <f t="shared" si="1"/>
        <v>Child</v>
      </c>
      <c r="L24" t="str">
        <f t="shared" si="2"/>
        <v>High Cost</v>
      </c>
      <c r="M24" t="str">
        <f t="shared" si="3"/>
        <v>Excellent</v>
      </c>
    </row>
    <row r="25" spans="1:13" x14ac:dyDescent="0.35">
      <c r="A25" t="s">
        <v>60</v>
      </c>
      <c r="B25" t="s">
        <v>27</v>
      </c>
      <c r="C25" t="s">
        <v>45</v>
      </c>
      <c r="D25" t="s">
        <v>39</v>
      </c>
      <c r="E25" t="s">
        <v>18</v>
      </c>
      <c r="F25">
        <v>22</v>
      </c>
      <c r="G25" s="9">
        <v>2671</v>
      </c>
      <c r="H25" s="10">
        <v>5</v>
      </c>
      <c r="I25" s="10">
        <v>88</v>
      </c>
      <c r="J25" t="str">
        <f t="shared" si="0"/>
        <v>21-40</v>
      </c>
      <c r="K25" t="str">
        <f t="shared" si="1"/>
        <v>Youth</v>
      </c>
      <c r="L25" t="str">
        <f t="shared" si="2"/>
        <v>Low Cost</v>
      </c>
      <c r="M25" t="str">
        <f t="shared" si="3"/>
        <v>Excellent</v>
      </c>
    </row>
    <row r="26" spans="1:13" x14ac:dyDescent="0.35">
      <c r="A26" t="s">
        <v>61</v>
      </c>
      <c r="B26" t="s">
        <v>30</v>
      </c>
      <c r="C26" t="s">
        <v>45</v>
      </c>
      <c r="D26" t="s">
        <v>25</v>
      </c>
      <c r="E26" t="s">
        <v>18</v>
      </c>
      <c r="F26">
        <v>89</v>
      </c>
      <c r="G26" s="9">
        <v>2147</v>
      </c>
      <c r="H26" s="10">
        <v>3</v>
      </c>
      <c r="I26" s="10">
        <v>75</v>
      </c>
      <c r="J26" t="str">
        <f t="shared" si="0"/>
        <v>61+</v>
      </c>
      <c r="K26" t="str">
        <f t="shared" si="1"/>
        <v>Elderly</v>
      </c>
      <c r="L26" t="str">
        <f t="shared" si="2"/>
        <v>Low Cost</v>
      </c>
      <c r="M26" t="str">
        <f t="shared" si="3"/>
        <v>Good</v>
      </c>
    </row>
    <row r="27" spans="1:13" x14ac:dyDescent="0.35">
      <c r="A27" t="s">
        <v>62</v>
      </c>
      <c r="B27" t="s">
        <v>15</v>
      </c>
      <c r="C27" t="s">
        <v>31</v>
      </c>
      <c r="D27" t="s">
        <v>39</v>
      </c>
      <c r="E27" t="s">
        <v>18</v>
      </c>
      <c r="F27">
        <v>58</v>
      </c>
      <c r="G27" s="9">
        <v>1991</v>
      </c>
      <c r="H27" s="10">
        <v>5</v>
      </c>
      <c r="I27" s="10">
        <v>64</v>
      </c>
      <c r="J27" t="str">
        <f t="shared" si="0"/>
        <v>41-60</v>
      </c>
      <c r="K27" t="str">
        <f t="shared" si="1"/>
        <v>Middle Age</v>
      </c>
      <c r="L27" t="str">
        <f t="shared" si="2"/>
        <v>Low Cost</v>
      </c>
      <c r="M27" t="str">
        <f t="shared" si="3"/>
        <v>Good</v>
      </c>
    </row>
    <row r="28" spans="1:13" x14ac:dyDescent="0.35">
      <c r="A28" t="s">
        <v>63</v>
      </c>
      <c r="B28" t="s">
        <v>20</v>
      </c>
      <c r="C28" t="s">
        <v>31</v>
      </c>
      <c r="D28" t="s">
        <v>17</v>
      </c>
      <c r="E28" t="s">
        <v>18</v>
      </c>
      <c r="F28">
        <v>30</v>
      </c>
      <c r="G28" s="9">
        <v>5820</v>
      </c>
      <c r="H28" s="10">
        <v>5</v>
      </c>
      <c r="I28" s="10">
        <v>50</v>
      </c>
      <c r="J28" t="str">
        <f t="shared" si="0"/>
        <v>21-40</v>
      </c>
      <c r="K28" t="str">
        <f t="shared" si="1"/>
        <v>Adult</v>
      </c>
      <c r="L28" t="str">
        <f t="shared" si="2"/>
        <v>Low Cost</v>
      </c>
      <c r="M28" t="str">
        <f t="shared" si="3"/>
        <v>Poor</v>
      </c>
    </row>
    <row r="29" spans="1:13" x14ac:dyDescent="0.35">
      <c r="A29" t="s">
        <v>64</v>
      </c>
      <c r="B29" t="s">
        <v>20</v>
      </c>
      <c r="C29" t="s">
        <v>16</v>
      </c>
      <c r="D29" t="s">
        <v>65</v>
      </c>
      <c r="E29" t="s">
        <v>22</v>
      </c>
      <c r="F29">
        <v>5</v>
      </c>
      <c r="G29" s="9">
        <v>19084</v>
      </c>
      <c r="H29" s="10">
        <v>10</v>
      </c>
      <c r="I29" s="10">
        <v>54</v>
      </c>
      <c r="J29" t="str">
        <f t="shared" si="0"/>
        <v>0-20</v>
      </c>
      <c r="K29" t="str">
        <f t="shared" si="1"/>
        <v>Infant</v>
      </c>
      <c r="L29" t="str">
        <f t="shared" si="2"/>
        <v>High Cost</v>
      </c>
      <c r="M29" t="str">
        <f t="shared" si="3"/>
        <v>Poor</v>
      </c>
    </row>
    <row r="30" spans="1:13" x14ac:dyDescent="0.35">
      <c r="A30" t="s">
        <v>66</v>
      </c>
      <c r="B30" t="s">
        <v>24</v>
      </c>
      <c r="C30" t="s">
        <v>45</v>
      </c>
      <c r="D30" t="s">
        <v>32</v>
      </c>
      <c r="E30" t="s">
        <v>18</v>
      </c>
      <c r="F30">
        <v>28</v>
      </c>
      <c r="G30" s="9">
        <v>4917</v>
      </c>
      <c r="H30" s="10">
        <v>2</v>
      </c>
      <c r="I30" s="10">
        <v>96</v>
      </c>
      <c r="J30" t="str">
        <f t="shared" si="0"/>
        <v>21-40</v>
      </c>
      <c r="K30" t="str">
        <f t="shared" si="1"/>
        <v>Youth</v>
      </c>
      <c r="L30" t="str">
        <f t="shared" si="2"/>
        <v>Low Cost</v>
      </c>
      <c r="M30" t="str">
        <f t="shared" si="3"/>
        <v>Excellent</v>
      </c>
    </row>
    <row r="31" spans="1:13" x14ac:dyDescent="0.35">
      <c r="A31" t="s">
        <v>67</v>
      </c>
      <c r="B31" t="s">
        <v>24</v>
      </c>
      <c r="C31" t="s">
        <v>28</v>
      </c>
      <c r="D31" t="s">
        <v>65</v>
      </c>
      <c r="E31" t="s">
        <v>18</v>
      </c>
      <c r="F31">
        <v>53</v>
      </c>
      <c r="G31" s="9">
        <v>589</v>
      </c>
      <c r="H31" s="10">
        <v>1</v>
      </c>
      <c r="I31" s="10">
        <v>56</v>
      </c>
      <c r="J31" t="str">
        <f t="shared" si="0"/>
        <v>41-60</v>
      </c>
      <c r="K31" t="str">
        <f t="shared" si="1"/>
        <v>Middle Age</v>
      </c>
      <c r="L31" t="str">
        <f t="shared" si="2"/>
        <v>Low Cost</v>
      </c>
      <c r="M31" t="str">
        <f t="shared" si="3"/>
        <v>Poor</v>
      </c>
    </row>
    <row r="32" spans="1:13" x14ac:dyDescent="0.35">
      <c r="A32" t="s">
        <v>68</v>
      </c>
      <c r="B32" t="s">
        <v>15</v>
      </c>
      <c r="C32" t="s">
        <v>28</v>
      </c>
      <c r="D32" t="s">
        <v>34</v>
      </c>
      <c r="E32" t="s">
        <v>22</v>
      </c>
      <c r="F32">
        <v>60</v>
      </c>
      <c r="G32" s="9">
        <v>1969</v>
      </c>
      <c r="H32" s="10">
        <v>3</v>
      </c>
      <c r="I32" s="10">
        <v>53</v>
      </c>
      <c r="J32" t="str">
        <f t="shared" si="0"/>
        <v>41-60</v>
      </c>
      <c r="K32" t="str">
        <f t="shared" si="1"/>
        <v>Middle Age</v>
      </c>
      <c r="L32" t="str">
        <f t="shared" si="2"/>
        <v>Low Cost</v>
      </c>
      <c r="M32" t="str">
        <f t="shared" si="3"/>
        <v>Poor</v>
      </c>
    </row>
    <row r="33" spans="1:13" x14ac:dyDescent="0.35">
      <c r="A33" t="s">
        <v>69</v>
      </c>
      <c r="B33" t="s">
        <v>15</v>
      </c>
      <c r="C33" t="s">
        <v>16</v>
      </c>
      <c r="D33" t="s">
        <v>17</v>
      </c>
      <c r="E33" t="s">
        <v>22</v>
      </c>
      <c r="F33">
        <v>44</v>
      </c>
      <c r="G33" s="9">
        <v>18116</v>
      </c>
      <c r="H33" s="10">
        <v>6</v>
      </c>
      <c r="I33" s="10">
        <v>65</v>
      </c>
      <c r="J33" t="str">
        <f t="shared" si="0"/>
        <v>41-60</v>
      </c>
      <c r="K33" t="str">
        <f t="shared" si="1"/>
        <v>Adult</v>
      </c>
      <c r="L33" t="str">
        <f t="shared" si="2"/>
        <v>High Cost</v>
      </c>
      <c r="M33" t="str">
        <f t="shared" si="3"/>
        <v>Good</v>
      </c>
    </row>
    <row r="34" spans="1:13" x14ac:dyDescent="0.35">
      <c r="A34" t="s">
        <v>70</v>
      </c>
      <c r="B34" t="s">
        <v>27</v>
      </c>
      <c r="C34" t="s">
        <v>45</v>
      </c>
      <c r="D34" t="s">
        <v>25</v>
      </c>
      <c r="E34" t="s">
        <v>22</v>
      </c>
      <c r="F34">
        <v>55</v>
      </c>
      <c r="G34" s="9">
        <v>2003</v>
      </c>
      <c r="H34" s="10">
        <v>3</v>
      </c>
      <c r="I34" s="10">
        <v>79</v>
      </c>
      <c r="J34" t="str">
        <f t="shared" si="0"/>
        <v>41-60</v>
      </c>
      <c r="K34" t="str">
        <f t="shared" si="1"/>
        <v>Middle Age</v>
      </c>
      <c r="L34" t="str">
        <f t="shared" si="2"/>
        <v>Low Cost</v>
      </c>
      <c r="M34" t="str">
        <f t="shared" si="3"/>
        <v>Good</v>
      </c>
    </row>
    <row r="35" spans="1:13" x14ac:dyDescent="0.35">
      <c r="A35" t="s">
        <v>71</v>
      </c>
      <c r="B35" t="s">
        <v>27</v>
      </c>
      <c r="C35" t="s">
        <v>16</v>
      </c>
      <c r="D35" t="s">
        <v>39</v>
      </c>
      <c r="E35" t="s">
        <v>18</v>
      </c>
      <c r="F35">
        <v>71</v>
      </c>
      <c r="G35" s="9">
        <v>6604</v>
      </c>
      <c r="H35" s="10">
        <v>5</v>
      </c>
      <c r="I35" s="10">
        <v>91</v>
      </c>
      <c r="J35" t="str">
        <f t="shared" si="0"/>
        <v>61+</v>
      </c>
      <c r="K35" t="str">
        <f t="shared" si="1"/>
        <v>Elderly</v>
      </c>
      <c r="L35" t="str">
        <f t="shared" si="2"/>
        <v>Low Cost</v>
      </c>
      <c r="M35" t="str">
        <f t="shared" si="3"/>
        <v>Excellent</v>
      </c>
    </row>
    <row r="36" spans="1:13" x14ac:dyDescent="0.35">
      <c r="A36" t="s">
        <v>72</v>
      </c>
      <c r="B36" t="s">
        <v>24</v>
      </c>
      <c r="C36" t="s">
        <v>16</v>
      </c>
      <c r="D36" t="s">
        <v>36</v>
      </c>
      <c r="E36" t="s">
        <v>18</v>
      </c>
      <c r="F36">
        <v>31</v>
      </c>
      <c r="G36" s="9">
        <v>7724</v>
      </c>
      <c r="H36" s="10">
        <v>11</v>
      </c>
      <c r="I36" s="10">
        <v>81</v>
      </c>
      <c r="J36" t="str">
        <f t="shared" si="0"/>
        <v>21-40</v>
      </c>
      <c r="K36" t="str">
        <f t="shared" si="1"/>
        <v>Adult</v>
      </c>
      <c r="L36" t="str">
        <f t="shared" si="2"/>
        <v>High Cost</v>
      </c>
      <c r="M36" t="str">
        <f t="shared" si="3"/>
        <v>Excellent</v>
      </c>
    </row>
    <row r="37" spans="1:13" x14ac:dyDescent="0.35">
      <c r="A37" t="s">
        <v>73</v>
      </c>
      <c r="B37" t="s">
        <v>30</v>
      </c>
      <c r="C37" t="s">
        <v>45</v>
      </c>
      <c r="D37" t="s">
        <v>52</v>
      </c>
      <c r="E37" t="s">
        <v>18</v>
      </c>
      <c r="F37">
        <v>22</v>
      </c>
      <c r="G37" s="9">
        <v>3604</v>
      </c>
      <c r="H37" s="10">
        <v>1</v>
      </c>
      <c r="I37" s="10">
        <v>74</v>
      </c>
      <c r="J37" t="str">
        <f t="shared" si="0"/>
        <v>21-40</v>
      </c>
      <c r="K37" t="str">
        <f t="shared" si="1"/>
        <v>Youth</v>
      </c>
      <c r="L37" t="str">
        <f t="shared" si="2"/>
        <v>Low Cost</v>
      </c>
      <c r="M37" t="str">
        <f t="shared" si="3"/>
        <v>Good</v>
      </c>
    </row>
    <row r="38" spans="1:13" x14ac:dyDescent="0.35">
      <c r="A38" t="s">
        <v>74</v>
      </c>
      <c r="B38" t="s">
        <v>49</v>
      </c>
      <c r="C38" t="s">
        <v>28</v>
      </c>
      <c r="D38" t="s">
        <v>32</v>
      </c>
      <c r="E38" t="s">
        <v>22</v>
      </c>
      <c r="F38">
        <v>72</v>
      </c>
      <c r="G38" s="9">
        <v>1555</v>
      </c>
      <c r="H38" s="10">
        <v>3</v>
      </c>
      <c r="I38" s="10">
        <v>81</v>
      </c>
      <c r="J38" t="str">
        <f t="shared" si="0"/>
        <v>61+</v>
      </c>
      <c r="K38" t="str">
        <f t="shared" si="1"/>
        <v>Elderly</v>
      </c>
      <c r="L38" t="str">
        <f t="shared" si="2"/>
        <v>Low Cost</v>
      </c>
      <c r="M38" t="str">
        <f t="shared" si="3"/>
        <v>Excellent</v>
      </c>
    </row>
    <row r="39" spans="1:13" x14ac:dyDescent="0.35">
      <c r="A39" t="s">
        <v>75</v>
      </c>
      <c r="B39" t="s">
        <v>27</v>
      </c>
      <c r="C39" t="s">
        <v>45</v>
      </c>
      <c r="D39" t="s">
        <v>32</v>
      </c>
      <c r="E39" t="s">
        <v>22</v>
      </c>
      <c r="F39">
        <v>8</v>
      </c>
      <c r="G39" s="9">
        <v>4941</v>
      </c>
      <c r="H39" s="10">
        <v>1</v>
      </c>
      <c r="I39" s="10">
        <v>97</v>
      </c>
      <c r="J39" t="str">
        <f t="shared" si="0"/>
        <v>0-20</v>
      </c>
      <c r="K39" t="str">
        <f t="shared" si="1"/>
        <v>Child</v>
      </c>
      <c r="L39" t="str">
        <f t="shared" si="2"/>
        <v>Low Cost</v>
      </c>
      <c r="M39" t="str">
        <f t="shared" si="3"/>
        <v>Excellent</v>
      </c>
    </row>
    <row r="40" spans="1:13" x14ac:dyDescent="0.35">
      <c r="A40" t="s">
        <v>76</v>
      </c>
      <c r="B40" t="s">
        <v>49</v>
      </c>
      <c r="C40" t="s">
        <v>16</v>
      </c>
      <c r="D40" t="s">
        <v>17</v>
      </c>
      <c r="E40" t="s">
        <v>18</v>
      </c>
      <c r="F40">
        <v>65</v>
      </c>
      <c r="G40" s="9">
        <v>18970</v>
      </c>
      <c r="H40" s="10">
        <v>13</v>
      </c>
      <c r="I40" s="10">
        <v>60</v>
      </c>
      <c r="J40" t="str">
        <f t="shared" si="0"/>
        <v>61+</v>
      </c>
      <c r="K40" t="str">
        <f t="shared" si="1"/>
        <v>Elderly</v>
      </c>
      <c r="L40" t="str">
        <f t="shared" si="2"/>
        <v>High Cost</v>
      </c>
      <c r="M40" t="str">
        <f t="shared" si="3"/>
        <v>Good</v>
      </c>
    </row>
    <row r="41" spans="1:13" x14ac:dyDescent="0.35">
      <c r="A41" t="s">
        <v>77</v>
      </c>
      <c r="B41" t="s">
        <v>20</v>
      </c>
      <c r="C41" t="s">
        <v>16</v>
      </c>
      <c r="D41" t="s">
        <v>47</v>
      </c>
      <c r="E41" t="s">
        <v>22</v>
      </c>
      <c r="F41">
        <v>9</v>
      </c>
      <c r="G41" s="9">
        <v>16062</v>
      </c>
      <c r="H41" s="10">
        <v>8</v>
      </c>
      <c r="I41" s="10">
        <v>75</v>
      </c>
      <c r="J41" t="str">
        <f t="shared" si="0"/>
        <v>0-20</v>
      </c>
      <c r="K41" t="str">
        <f t="shared" si="1"/>
        <v>Child</v>
      </c>
      <c r="L41" t="str">
        <f t="shared" si="2"/>
        <v>High Cost</v>
      </c>
      <c r="M41" t="str">
        <f t="shared" si="3"/>
        <v>Good</v>
      </c>
    </row>
    <row r="42" spans="1:13" x14ac:dyDescent="0.35">
      <c r="A42" t="s">
        <v>78</v>
      </c>
      <c r="B42" t="s">
        <v>20</v>
      </c>
      <c r="C42" t="s">
        <v>45</v>
      </c>
      <c r="D42" t="s">
        <v>21</v>
      </c>
      <c r="E42" t="s">
        <v>18</v>
      </c>
      <c r="F42">
        <v>80</v>
      </c>
      <c r="G42" s="9">
        <v>1171</v>
      </c>
      <c r="H42" s="10">
        <v>4</v>
      </c>
      <c r="I42" s="10">
        <v>92</v>
      </c>
      <c r="J42" t="str">
        <f t="shared" si="0"/>
        <v>61+</v>
      </c>
      <c r="K42" t="str">
        <f t="shared" si="1"/>
        <v>Elderly</v>
      </c>
      <c r="L42" t="str">
        <f t="shared" si="2"/>
        <v>Low Cost</v>
      </c>
      <c r="M42" t="str">
        <f t="shared" si="3"/>
        <v>Excellent</v>
      </c>
    </row>
    <row r="43" spans="1:13" x14ac:dyDescent="0.35">
      <c r="A43" t="s">
        <v>79</v>
      </c>
      <c r="B43" t="s">
        <v>24</v>
      </c>
      <c r="C43" t="s">
        <v>31</v>
      </c>
      <c r="D43" t="s">
        <v>32</v>
      </c>
      <c r="E43" t="s">
        <v>22</v>
      </c>
      <c r="F43">
        <v>41</v>
      </c>
      <c r="G43" s="9">
        <v>2955</v>
      </c>
      <c r="H43" s="10">
        <v>6</v>
      </c>
      <c r="I43" s="10">
        <v>75</v>
      </c>
      <c r="J43" t="str">
        <f t="shared" si="0"/>
        <v>41-60</v>
      </c>
      <c r="K43" t="str">
        <f t="shared" si="1"/>
        <v>Adult</v>
      </c>
      <c r="L43" t="str">
        <f t="shared" si="2"/>
        <v>Low Cost</v>
      </c>
      <c r="M43" t="str">
        <f t="shared" si="3"/>
        <v>Good</v>
      </c>
    </row>
    <row r="44" spans="1:13" x14ac:dyDescent="0.35">
      <c r="A44" t="s">
        <v>80</v>
      </c>
      <c r="B44" t="s">
        <v>27</v>
      </c>
      <c r="C44" t="s">
        <v>31</v>
      </c>
      <c r="D44" t="s">
        <v>39</v>
      </c>
      <c r="E44" t="s">
        <v>22</v>
      </c>
      <c r="F44">
        <v>10</v>
      </c>
      <c r="G44" s="9">
        <v>1076</v>
      </c>
      <c r="H44" s="10">
        <v>9</v>
      </c>
      <c r="I44" s="10">
        <v>89</v>
      </c>
      <c r="J44" t="str">
        <f t="shared" si="0"/>
        <v>0-20</v>
      </c>
      <c r="K44" t="str">
        <f t="shared" si="1"/>
        <v>Child</v>
      </c>
      <c r="L44" t="str">
        <f t="shared" si="2"/>
        <v>Low Cost</v>
      </c>
      <c r="M44" t="str">
        <f t="shared" si="3"/>
        <v>Excellent</v>
      </c>
    </row>
    <row r="45" spans="1:13" x14ac:dyDescent="0.35">
      <c r="A45" t="s">
        <v>81</v>
      </c>
      <c r="B45" t="s">
        <v>24</v>
      </c>
      <c r="C45" t="s">
        <v>16</v>
      </c>
      <c r="D45" t="s">
        <v>36</v>
      </c>
      <c r="E45" t="s">
        <v>18</v>
      </c>
      <c r="F45">
        <v>65</v>
      </c>
      <c r="G45" s="9">
        <v>9345</v>
      </c>
      <c r="H45" s="10">
        <v>7</v>
      </c>
      <c r="I45" s="10">
        <v>72</v>
      </c>
      <c r="J45" t="str">
        <f t="shared" si="0"/>
        <v>61+</v>
      </c>
      <c r="K45" t="str">
        <f t="shared" si="1"/>
        <v>Elderly</v>
      </c>
      <c r="L45" t="str">
        <f t="shared" si="2"/>
        <v>High Cost</v>
      </c>
      <c r="M45" t="str">
        <f t="shared" si="3"/>
        <v>Good</v>
      </c>
    </row>
    <row r="46" spans="1:13" x14ac:dyDescent="0.35">
      <c r="A46" t="s">
        <v>82</v>
      </c>
      <c r="B46" t="s">
        <v>20</v>
      </c>
      <c r="C46" t="s">
        <v>45</v>
      </c>
      <c r="D46" t="s">
        <v>34</v>
      </c>
      <c r="E46" t="s">
        <v>22</v>
      </c>
      <c r="F46">
        <v>57</v>
      </c>
      <c r="G46" s="9">
        <v>4950</v>
      </c>
      <c r="H46" s="10">
        <v>3</v>
      </c>
      <c r="I46" s="10">
        <v>89</v>
      </c>
      <c r="J46" t="str">
        <f t="shared" si="0"/>
        <v>41-60</v>
      </c>
      <c r="K46" t="str">
        <f t="shared" si="1"/>
        <v>Middle Age</v>
      </c>
      <c r="L46" t="str">
        <f t="shared" si="2"/>
        <v>Low Cost</v>
      </c>
      <c r="M46" t="str">
        <f t="shared" si="3"/>
        <v>Excellent</v>
      </c>
    </row>
    <row r="47" spans="1:13" x14ac:dyDescent="0.35">
      <c r="A47" t="s">
        <v>83</v>
      </c>
      <c r="B47" t="s">
        <v>54</v>
      </c>
      <c r="C47" t="s">
        <v>16</v>
      </c>
      <c r="D47" t="s">
        <v>25</v>
      </c>
      <c r="E47" t="s">
        <v>22</v>
      </c>
      <c r="F47">
        <v>85</v>
      </c>
      <c r="G47" s="9">
        <v>6697</v>
      </c>
      <c r="H47" s="10">
        <v>7</v>
      </c>
      <c r="I47" s="10">
        <v>66</v>
      </c>
      <c r="J47" t="str">
        <f t="shared" si="0"/>
        <v>61+</v>
      </c>
      <c r="K47" t="str">
        <f t="shared" si="1"/>
        <v>Elderly</v>
      </c>
      <c r="L47" t="str">
        <f t="shared" si="2"/>
        <v>Low Cost</v>
      </c>
      <c r="M47" t="str">
        <f t="shared" si="3"/>
        <v>Good</v>
      </c>
    </row>
    <row r="48" spans="1:13" x14ac:dyDescent="0.35">
      <c r="A48" t="s">
        <v>84</v>
      </c>
      <c r="B48" t="s">
        <v>20</v>
      </c>
      <c r="C48" t="s">
        <v>16</v>
      </c>
      <c r="D48" t="s">
        <v>25</v>
      </c>
      <c r="E48" t="s">
        <v>22</v>
      </c>
      <c r="F48">
        <v>37</v>
      </c>
      <c r="G48" s="9">
        <v>14909</v>
      </c>
      <c r="H48" s="10">
        <v>8</v>
      </c>
      <c r="I48" s="10">
        <v>95</v>
      </c>
      <c r="J48" t="str">
        <f t="shared" si="0"/>
        <v>21-40</v>
      </c>
      <c r="K48" t="str">
        <f t="shared" si="1"/>
        <v>Adult</v>
      </c>
      <c r="L48" t="str">
        <f t="shared" si="2"/>
        <v>High Cost</v>
      </c>
      <c r="M48" t="str">
        <f t="shared" si="3"/>
        <v>Excellent</v>
      </c>
    </row>
    <row r="49" spans="1:13" x14ac:dyDescent="0.35">
      <c r="A49" t="s">
        <v>85</v>
      </c>
      <c r="B49" t="s">
        <v>49</v>
      </c>
      <c r="C49" t="s">
        <v>45</v>
      </c>
      <c r="D49" t="s">
        <v>32</v>
      </c>
      <c r="E49" t="s">
        <v>18</v>
      </c>
      <c r="F49">
        <v>33</v>
      </c>
      <c r="G49" s="9">
        <v>916</v>
      </c>
      <c r="H49" s="10">
        <v>1</v>
      </c>
      <c r="I49" s="10">
        <v>90</v>
      </c>
      <c r="J49" t="str">
        <f t="shared" si="0"/>
        <v>21-40</v>
      </c>
      <c r="K49" t="str">
        <f t="shared" si="1"/>
        <v>Adult</v>
      </c>
      <c r="L49" t="str">
        <f t="shared" si="2"/>
        <v>Low Cost</v>
      </c>
      <c r="M49" t="str">
        <f t="shared" si="3"/>
        <v>Excellent</v>
      </c>
    </row>
    <row r="50" spans="1:13" x14ac:dyDescent="0.35">
      <c r="A50" t="s">
        <v>86</v>
      </c>
      <c r="B50" t="s">
        <v>30</v>
      </c>
      <c r="C50" t="s">
        <v>31</v>
      </c>
      <c r="D50" t="s">
        <v>17</v>
      </c>
      <c r="E50" t="s">
        <v>22</v>
      </c>
      <c r="F50">
        <v>17</v>
      </c>
      <c r="G50" s="9">
        <v>6219</v>
      </c>
      <c r="H50" s="10">
        <v>6</v>
      </c>
      <c r="I50" s="10">
        <v>60</v>
      </c>
      <c r="J50" t="str">
        <f t="shared" si="0"/>
        <v>0-20</v>
      </c>
      <c r="K50" t="str">
        <f t="shared" si="1"/>
        <v>Teenager</v>
      </c>
      <c r="L50" t="str">
        <f t="shared" si="2"/>
        <v>Low Cost</v>
      </c>
      <c r="M50" t="str">
        <f t="shared" si="3"/>
        <v>Good</v>
      </c>
    </row>
    <row r="51" spans="1:13" x14ac:dyDescent="0.35">
      <c r="A51" t="s">
        <v>87</v>
      </c>
      <c r="B51" t="s">
        <v>15</v>
      </c>
      <c r="C51" t="s">
        <v>28</v>
      </c>
      <c r="D51" t="s">
        <v>25</v>
      </c>
      <c r="E51" t="s">
        <v>18</v>
      </c>
      <c r="F51">
        <v>72</v>
      </c>
      <c r="G51" s="9">
        <v>219</v>
      </c>
      <c r="H51" s="10">
        <v>1</v>
      </c>
      <c r="I51" s="10">
        <v>54</v>
      </c>
      <c r="J51" t="str">
        <f t="shared" si="0"/>
        <v>61+</v>
      </c>
      <c r="K51" t="str">
        <f t="shared" si="1"/>
        <v>Elderly</v>
      </c>
      <c r="L51" t="str">
        <f t="shared" si="2"/>
        <v>Low Cost</v>
      </c>
      <c r="M51" t="str">
        <f t="shared" si="3"/>
        <v>Poor</v>
      </c>
    </row>
    <row r="52" spans="1:13" x14ac:dyDescent="0.35">
      <c r="A52" t="s">
        <v>88</v>
      </c>
      <c r="B52" t="s">
        <v>15</v>
      </c>
      <c r="C52" t="s">
        <v>45</v>
      </c>
      <c r="D52" t="s">
        <v>25</v>
      </c>
      <c r="E52" t="s">
        <v>22</v>
      </c>
      <c r="F52">
        <v>48</v>
      </c>
      <c r="G52" s="9">
        <v>1713</v>
      </c>
      <c r="H52" s="10">
        <v>4</v>
      </c>
      <c r="I52" s="10">
        <v>58</v>
      </c>
      <c r="J52" t="str">
        <f t="shared" si="0"/>
        <v>41-60</v>
      </c>
      <c r="K52" t="str">
        <f t="shared" si="1"/>
        <v>Middle Age</v>
      </c>
      <c r="L52" t="str">
        <f t="shared" si="2"/>
        <v>Low Cost</v>
      </c>
      <c r="M52" t="str">
        <f t="shared" si="3"/>
        <v>Poor</v>
      </c>
    </row>
    <row r="53" spans="1:13" x14ac:dyDescent="0.35">
      <c r="A53" t="s">
        <v>89</v>
      </c>
      <c r="B53" t="s">
        <v>20</v>
      </c>
      <c r="C53" t="s">
        <v>31</v>
      </c>
      <c r="D53" t="s">
        <v>34</v>
      </c>
      <c r="E53" t="s">
        <v>18</v>
      </c>
      <c r="F53">
        <v>6</v>
      </c>
      <c r="G53" s="9">
        <v>3931</v>
      </c>
      <c r="H53" s="10">
        <v>5</v>
      </c>
      <c r="I53" s="10">
        <v>93</v>
      </c>
      <c r="J53" t="str">
        <f t="shared" si="0"/>
        <v>0-20</v>
      </c>
      <c r="K53" t="str">
        <f t="shared" si="1"/>
        <v>Child</v>
      </c>
      <c r="L53" t="str">
        <f t="shared" si="2"/>
        <v>Low Cost</v>
      </c>
      <c r="M53" t="str">
        <f t="shared" si="3"/>
        <v>Excellent</v>
      </c>
    </row>
    <row r="54" spans="1:13" x14ac:dyDescent="0.35">
      <c r="A54" t="s">
        <v>90</v>
      </c>
      <c r="B54" t="s">
        <v>27</v>
      </c>
      <c r="C54" t="s">
        <v>16</v>
      </c>
      <c r="D54" t="s">
        <v>34</v>
      </c>
      <c r="E54" t="s">
        <v>18</v>
      </c>
      <c r="F54">
        <v>53</v>
      </c>
      <c r="G54" s="9">
        <v>15168</v>
      </c>
      <c r="H54" s="10">
        <v>7</v>
      </c>
      <c r="I54" s="10">
        <v>65</v>
      </c>
      <c r="J54" t="str">
        <f t="shared" si="0"/>
        <v>41-60</v>
      </c>
      <c r="K54" t="str">
        <f t="shared" si="1"/>
        <v>Middle Age</v>
      </c>
      <c r="L54" t="str">
        <f t="shared" si="2"/>
        <v>High Cost</v>
      </c>
      <c r="M54" t="str">
        <f t="shared" si="3"/>
        <v>Good</v>
      </c>
    </row>
    <row r="55" spans="1:13" x14ac:dyDescent="0.35">
      <c r="A55" t="s">
        <v>91</v>
      </c>
      <c r="B55" t="s">
        <v>54</v>
      </c>
      <c r="C55" t="s">
        <v>45</v>
      </c>
      <c r="D55" t="s">
        <v>47</v>
      </c>
      <c r="E55" t="s">
        <v>18</v>
      </c>
      <c r="F55">
        <v>4</v>
      </c>
      <c r="G55" s="9">
        <v>1969</v>
      </c>
      <c r="H55" s="10">
        <v>3</v>
      </c>
      <c r="I55" s="10">
        <v>100</v>
      </c>
      <c r="J55" t="str">
        <f t="shared" si="0"/>
        <v>0-20</v>
      </c>
      <c r="K55" t="str">
        <f t="shared" si="1"/>
        <v>Infant</v>
      </c>
      <c r="L55" t="str">
        <f t="shared" si="2"/>
        <v>Low Cost</v>
      </c>
      <c r="M55" t="str">
        <f t="shared" si="3"/>
        <v>Excellent</v>
      </c>
    </row>
    <row r="56" spans="1:13" x14ac:dyDescent="0.35">
      <c r="A56" t="s">
        <v>92</v>
      </c>
      <c r="B56" t="s">
        <v>30</v>
      </c>
      <c r="C56" t="s">
        <v>45</v>
      </c>
      <c r="D56" t="s">
        <v>32</v>
      </c>
      <c r="E56" t="s">
        <v>22</v>
      </c>
      <c r="F56">
        <v>90</v>
      </c>
      <c r="G56" s="9">
        <v>1385</v>
      </c>
      <c r="H56" s="10">
        <v>4</v>
      </c>
      <c r="I56" s="10">
        <v>52</v>
      </c>
      <c r="J56" t="str">
        <f t="shared" si="0"/>
        <v>61+</v>
      </c>
      <c r="K56" t="str">
        <f t="shared" si="1"/>
        <v>Elderly</v>
      </c>
      <c r="L56" t="str">
        <f t="shared" si="2"/>
        <v>Low Cost</v>
      </c>
      <c r="M56" t="str">
        <f t="shared" si="3"/>
        <v>Poor</v>
      </c>
    </row>
    <row r="57" spans="1:13" x14ac:dyDescent="0.35">
      <c r="A57" t="s">
        <v>93</v>
      </c>
      <c r="B57" t="s">
        <v>54</v>
      </c>
      <c r="C57" t="s">
        <v>28</v>
      </c>
      <c r="D57" t="s">
        <v>65</v>
      </c>
      <c r="E57" t="s">
        <v>22</v>
      </c>
      <c r="F57">
        <v>59</v>
      </c>
      <c r="G57" s="9">
        <v>916</v>
      </c>
      <c r="H57" s="10">
        <v>2</v>
      </c>
      <c r="I57" s="10">
        <v>100</v>
      </c>
      <c r="J57" t="str">
        <f t="shared" si="0"/>
        <v>41-60</v>
      </c>
      <c r="K57" t="str">
        <f t="shared" si="1"/>
        <v>Middle Age</v>
      </c>
      <c r="L57" t="str">
        <f t="shared" si="2"/>
        <v>Low Cost</v>
      </c>
      <c r="M57" t="str">
        <f t="shared" si="3"/>
        <v>Excellent</v>
      </c>
    </row>
    <row r="58" spans="1:13" x14ac:dyDescent="0.35">
      <c r="A58" t="s">
        <v>94</v>
      </c>
      <c r="B58" t="s">
        <v>54</v>
      </c>
      <c r="C58" t="s">
        <v>45</v>
      </c>
      <c r="D58" t="s">
        <v>65</v>
      </c>
      <c r="E58" t="s">
        <v>22</v>
      </c>
      <c r="F58">
        <v>25</v>
      </c>
      <c r="G58" s="9">
        <v>3764</v>
      </c>
      <c r="H58" s="10">
        <v>3</v>
      </c>
      <c r="I58" s="10">
        <v>67</v>
      </c>
      <c r="J58" t="str">
        <f t="shared" si="0"/>
        <v>21-40</v>
      </c>
      <c r="K58" t="str">
        <f t="shared" si="1"/>
        <v>Youth</v>
      </c>
      <c r="L58" t="str">
        <f t="shared" si="2"/>
        <v>Low Cost</v>
      </c>
      <c r="M58" t="str">
        <f t="shared" si="3"/>
        <v>Good</v>
      </c>
    </row>
    <row r="59" spans="1:13" x14ac:dyDescent="0.35">
      <c r="A59" t="s">
        <v>95</v>
      </c>
      <c r="B59" t="s">
        <v>54</v>
      </c>
      <c r="C59" t="s">
        <v>16</v>
      </c>
      <c r="D59" t="s">
        <v>32</v>
      </c>
      <c r="E59" t="s">
        <v>22</v>
      </c>
      <c r="F59">
        <v>66</v>
      </c>
      <c r="G59" s="9">
        <v>11548</v>
      </c>
      <c r="H59" s="10">
        <v>15</v>
      </c>
      <c r="I59" s="10">
        <v>84</v>
      </c>
      <c r="J59" t="str">
        <f t="shared" si="0"/>
        <v>61+</v>
      </c>
      <c r="K59" t="str">
        <f t="shared" si="1"/>
        <v>Elderly</v>
      </c>
      <c r="L59" t="str">
        <f t="shared" si="2"/>
        <v>High Cost</v>
      </c>
      <c r="M59" t="str">
        <f t="shared" si="3"/>
        <v>Excellent</v>
      </c>
    </row>
    <row r="60" spans="1:13" x14ac:dyDescent="0.35">
      <c r="A60" t="s">
        <v>96</v>
      </c>
      <c r="B60" t="s">
        <v>49</v>
      </c>
      <c r="C60" t="s">
        <v>16</v>
      </c>
      <c r="D60" t="s">
        <v>36</v>
      </c>
      <c r="E60" t="s">
        <v>18</v>
      </c>
      <c r="F60">
        <v>34</v>
      </c>
      <c r="G60" s="9">
        <v>7925</v>
      </c>
      <c r="H60" s="10">
        <v>14</v>
      </c>
      <c r="I60" s="10">
        <v>66</v>
      </c>
      <c r="J60" t="str">
        <f t="shared" si="0"/>
        <v>21-40</v>
      </c>
      <c r="K60" t="str">
        <f t="shared" si="1"/>
        <v>Adult</v>
      </c>
      <c r="L60" t="str">
        <f t="shared" si="2"/>
        <v>High Cost</v>
      </c>
      <c r="M60" t="str">
        <f t="shared" si="3"/>
        <v>Good</v>
      </c>
    </row>
    <row r="61" spans="1:13" x14ac:dyDescent="0.35">
      <c r="A61" t="s">
        <v>97</v>
      </c>
      <c r="B61" t="s">
        <v>20</v>
      </c>
      <c r="C61" t="s">
        <v>16</v>
      </c>
      <c r="D61" t="s">
        <v>21</v>
      </c>
      <c r="E61" t="s">
        <v>22</v>
      </c>
      <c r="F61">
        <v>41</v>
      </c>
      <c r="G61" s="9">
        <v>12149</v>
      </c>
      <c r="H61" s="10">
        <v>14</v>
      </c>
      <c r="I61" s="10">
        <v>82</v>
      </c>
      <c r="J61" t="str">
        <f t="shared" si="0"/>
        <v>41-60</v>
      </c>
      <c r="K61" t="str">
        <f t="shared" si="1"/>
        <v>Adult</v>
      </c>
      <c r="L61" t="str">
        <f t="shared" si="2"/>
        <v>High Cost</v>
      </c>
      <c r="M61" t="str">
        <f t="shared" si="3"/>
        <v>Excellent</v>
      </c>
    </row>
    <row r="62" spans="1:13" x14ac:dyDescent="0.35">
      <c r="A62" t="s">
        <v>98</v>
      </c>
      <c r="B62" t="s">
        <v>20</v>
      </c>
      <c r="C62" t="s">
        <v>28</v>
      </c>
      <c r="D62" t="s">
        <v>21</v>
      </c>
      <c r="E62" t="s">
        <v>22</v>
      </c>
      <c r="F62">
        <v>6</v>
      </c>
      <c r="G62" s="9">
        <v>1651</v>
      </c>
      <c r="H62" s="10">
        <v>2</v>
      </c>
      <c r="I62" s="10">
        <v>50</v>
      </c>
      <c r="J62" t="str">
        <f t="shared" si="0"/>
        <v>0-20</v>
      </c>
      <c r="K62" t="str">
        <f t="shared" si="1"/>
        <v>Child</v>
      </c>
      <c r="L62" t="str">
        <f t="shared" si="2"/>
        <v>Low Cost</v>
      </c>
      <c r="M62" t="str">
        <f t="shared" si="3"/>
        <v>Poor</v>
      </c>
    </row>
    <row r="63" spans="1:13" x14ac:dyDescent="0.35">
      <c r="A63" t="s">
        <v>99</v>
      </c>
      <c r="B63" t="s">
        <v>24</v>
      </c>
      <c r="C63" t="s">
        <v>45</v>
      </c>
      <c r="D63" t="s">
        <v>34</v>
      </c>
      <c r="E63" t="s">
        <v>22</v>
      </c>
      <c r="F63">
        <v>86</v>
      </c>
      <c r="G63" s="9">
        <v>3204</v>
      </c>
      <c r="H63" s="10">
        <v>5</v>
      </c>
      <c r="I63" s="10">
        <v>70</v>
      </c>
      <c r="J63" t="str">
        <f t="shared" si="0"/>
        <v>61+</v>
      </c>
      <c r="K63" t="str">
        <f t="shared" si="1"/>
        <v>Elderly</v>
      </c>
      <c r="L63" t="str">
        <f t="shared" si="2"/>
        <v>Low Cost</v>
      </c>
      <c r="M63" t="str">
        <f t="shared" si="3"/>
        <v>Good</v>
      </c>
    </row>
    <row r="64" spans="1:13" x14ac:dyDescent="0.35">
      <c r="A64" t="s">
        <v>100</v>
      </c>
      <c r="B64" t="s">
        <v>15</v>
      </c>
      <c r="C64" t="s">
        <v>16</v>
      </c>
      <c r="D64" t="s">
        <v>32</v>
      </c>
      <c r="E64" t="s">
        <v>18</v>
      </c>
      <c r="F64">
        <v>86</v>
      </c>
      <c r="G64" s="9">
        <v>11691</v>
      </c>
      <c r="H64" s="10">
        <v>10</v>
      </c>
      <c r="I64" s="10">
        <v>75</v>
      </c>
      <c r="J64" t="str">
        <f t="shared" si="0"/>
        <v>61+</v>
      </c>
      <c r="K64" t="str">
        <f t="shared" si="1"/>
        <v>Elderly</v>
      </c>
      <c r="L64" t="str">
        <f t="shared" si="2"/>
        <v>High Cost</v>
      </c>
      <c r="M64" t="str">
        <f t="shared" si="3"/>
        <v>Good</v>
      </c>
    </row>
    <row r="65" spans="1:13" x14ac:dyDescent="0.35">
      <c r="A65" t="s">
        <v>101</v>
      </c>
      <c r="B65" t="s">
        <v>15</v>
      </c>
      <c r="C65" t="s">
        <v>31</v>
      </c>
      <c r="D65" t="s">
        <v>25</v>
      </c>
      <c r="E65" t="s">
        <v>22</v>
      </c>
      <c r="F65">
        <v>54</v>
      </c>
      <c r="G65" s="9">
        <v>6447</v>
      </c>
      <c r="H65" s="10">
        <v>8</v>
      </c>
      <c r="I65" s="10">
        <v>93</v>
      </c>
      <c r="J65" t="str">
        <f t="shared" si="0"/>
        <v>41-60</v>
      </c>
      <c r="K65" t="str">
        <f t="shared" si="1"/>
        <v>Middle Age</v>
      </c>
      <c r="L65" t="str">
        <f t="shared" si="2"/>
        <v>Low Cost</v>
      </c>
      <c r="M65" t="str">
        <f t="shared" si="3"/>
        <v>Excellent</v>
      </c>
    </row>
    <row r="66" spans="1:13" x14ac:dyDescent="0.35">
      <c r="A66" t="s">
        <v>102</v>
      </c>
      <c r="B66" t="s">
        <v>15</v>
      </c>
      <c r="C66" t="s">
        <v>45</v>
      </c>
      <c r="D66" t="s">
        <v>21</v>
      </c>
      <c r="E66" t="s">
        <v>18</v>
      </c>
      <c r="F66">
        <v>52</v>
      </c>
      <c r="G66" s="9">
        <v>4988</v>
      </c>
      <c r="H66" s="10">
        <v>1</v>
      </c>
      <c r="I66" s="10">
        <v>69</v>
      </c>
      <c r="J66" t="str">
        <f t="shared" ref="J66:J129" si="4">IF(F66&lt;=20,"0-20",IF(F66&lt;=40,"21-40",IF(F66&lt;=60,"41-60","61+")))</f>
        <v>41-60</v>
      </c>
      <c r="K66" t="str">
        <f t="shared" ref="K66:K129" si="5">IF(F66&lt;=5,"Infant",IF(F66&lt;=12,"Child",IF(F66&lt;=19,"Teenager",IF(F66&lt;=29,"Youth",IF(F66&lt;=44,"Adult",IF(F66&lt;=60,"Middle Age",IF(F66&gt;60,"Elderly")))))))</f>
        <v>Middle Age</v>
      </c>
      <c r="L66" t="str">
        <f t="shared" ref="L66:L129" si="6">IF(G66&gt;=7500,"High Cost","Low Cost")</f>
        <v>Low Cost</v>
      </c>
      <c r="M66" t="str">
        <f t="shared" ref="M66:M129" si="7">IF(I66&gt;=80,"Excellent",IF(I66&gt;=60,"Good","Poor"))</f>
        <v>Good</v>
      </c>
    </row>
    <row r="67" spans="1:13" x14ac:dyDescent="0.35">
      <c r="A67" t="s">
        <v>103</v>
      </c>
      <c r="B67" t="s">
        <v>49</v>
      </c>
      <c r="C67" t="s">
        <v>45</v>
      </c>
      <c r="D67" t="s">
        <v>52</v>
      </c>
      <c r="E67" t="s">
        <v>18</v>
      </c>
      <c r="F67">
        <v>78</v>
      </c>
      <c r="G67" s="9">
        <v>3139</v>
      </c>
      <c r="H67" s="10">
        <v>4</v>
      </c>
      <c r="I67" s="10">
        <v>78</v>
      </c>
      <c r="J67" t="str">
        <f t="shared" si="4"/>
        <v>61+</v>
      </c>
      <c r="K67" t="str">
        <f t="shared" si="5"/>
        <v>Elderly</v>
      </c>
      <c r="L67" t="str">
        <f t="shared" si="6"/>
        <v>Low Cost</v>
      </c>
      <c r="M67" t="str">
        <f t="shared" si="7"/>
        <v>Good</v>
      </c>
    </row>
    <row r="68" spans="1:13" x14ac:dyDescent="0.35">
      <c r="A68" t="s">
        <v>104</v>
      </c>
      <c r="B68" t="s">
        <v>30</v>
      </c>
      <c r="C68" t="s">
        <v>45</v>
      </c>
      <c r="D68" t="s">
        <v>25</v>
      </c>
      <c r="E68" t="s">
        <v>22</v>
      </c>
      <c r="F68">
        <v>22</v>
      </c>
      <c r="G68" s="9">
        <v>1194</v>
      </c>
      <c r="H68" s="10">
        <v>3</v>
      </c>
      <c r="I68" s="10">
        <v>82</v>
      </c>
      <c r="J68" t="str">
        <f t="shared" si="4"/>
        <v>21-40</v>
      </c>
      <c r="K68" t="str">
        <f t="shared" si="5"/>
        <v>Youth</v>
      </c>
      <c r="L68" t="str">
        <f t="shared" si="6"/>
        <v>Low Cost</v>
      </c>
      <c r="M68" t="str">
        <f t="shared" si="7"/>
        <v>Excellent</v>
      </c>
    </row>
    <row r="69" spans="1:13" x14ac:dyDescent="0.35">
      <c r="A69" t="s">
        <v>105</v>
      </c>
      <c r="B69" t="s">
        <v>15</v>
      </c>
      <c r="C69" t="s">
        <v>31</v>
      </c>
      <c r="D69" t="s">
        <v>36</v>
      </c>
      <c r="E69" t="s">
        <v>18</v>
      </c>
      <c r="F69">
        <v>31</v>
      </c>
      <c r="G69" s="9">
        <v>6511</v>
      </c>
      <c r="H69" s="10">
        <v>6</v>
      </c>
      <c r="I69" s="10">
        <v>64</v>
      </c>
      <c r="J69" t="str">
        <f t="shared" si="4"/>
        <v>21-40</v>
      </c>
      <c r="K69" t="str">
        <f t="shared" si="5"/>
        <v>Adult</v>
      </c>
      <c r="L69" t="str">
        <f t="shared" si="6"/>
        <v>Low Cost</v>
      </c>
      <c r="M69" t="str">
        <f t="shared" si="7"/>
        <v>Good</v>
      </c>
    </row>
    <row r="70" spans="1:13" x14ac:dyDescent="0.35">
      <c r="A70" t="s">
        <v>106</v>
      </c>
      <c r="B70" t="s">
        <v>54</v>
      </c>
      <c r="C70" t="s">
        <v>45</v>
      </c>
      <c r="D70" t="s">
        <v>47</v>
      </c>
      <c r="E70" t="s">
        <v>22</v>
      </c>
      <c r="F70">
        <v>32</v>
      </c>
      <c r="G70" s="9">
        <v>4392</v>
      </c>
      <c r="H70" s="10">
        <v>5</v>
      </c>
      <c r="I70" s="10">
        <v>99</v>
      </c>
      <c r="J70" t="str">
        <f t="shared" si="4"/>
        <v>21-40</v>
      </c>
      <c r="K70" t="str">
        <f t="shared" si="5"/>
        <v>Adult</v>
      </c>
      <c r="L70" t="str">
        <f t="shared" si="6"/>
        <v>Low Cost</v>
      </c>
      <c r="M70" t="str">
        <f t="shared" si="7"/>
        <v>Excellent</v>
      </c>
    </row>
    <row r="71" spans="1:13" x14ac:dyDescent="0.35">
      <c r="A71" t="s">
        <v>107</v>
      </c>
      <c r="B71" t="s">
        <v>20</v>
      </c>
      <c r="C71" t="s">
        <v>28</v>
      </c>
      <c r="D71" t="s">
        <v>52</v>
      </c>
      <c r="E71" t="s">
        <v>18</v>
      </c>
      <c r="F71">
        <v>74</v>
      </c>
      <c r="G71" s="9">
        <v>598</v>
      </c>
      <c r="H71" s="10">
        <v>3</v>
      </c>
      <c r="I71" s="10">
        <v>94</v>
      </c>
      <c r="J71" t="str">
        <f t="shared" si="4"/>
        <v>61+</v>
      </c>
      <c r="K71" t="str">
        <f t="shared" si="5"/>
        <v>Elderly</v>
      </c>
      <c r="L71" t="str">
        <f t="shared" si="6"/>
        <v>Low Cost</v>
      </c>
      <c r="M71" t="str">
        <f t="shared" si="7"/>
        <v>Excellent</v>
      </c>
    </row>
    <row r="72" spans="1:13" x14ac:dyDescent="0.35">
      <c r="A72" t="s">
        <v>108</v>
      </c>
      <c r="B72" t="s">
        <v>30</v>
      </c>
      <c r="C72" t="s">
        <v>28</v>
      </c>
      <c r="D72" t="s">
        <v>52</v>
      </c>
      <c r="E72" t="s">
        <v>22</v>
      </c>
      <c r="F72">
        <v>84</v>
      </c>
      <c r="G72" s="9">
        <v>1608</v>
      </c>
      <c r="H72" s="10">
        <v>1</v>
      </c>
      <c r="I72" s="10">
        <v>98</v>
      </c>
      <c r="J72" t="str">
        <f t="shared" si="4"/>
        <v>61+</v>
      </c>
      <c r="K72" t="str">
        <f t="shared" si="5"/>
        <v>Elderly</v>
      </c>
      <c r="L72" t="str">
        <f t="shared" si="6"/>
        <v>Low Cost</v>
      </c>
      <c r="M72" t="str">
        <f t="shared" si="7"/>
        <v>Excellent</v>
      </c>
    </row>
    <row r="73" spans="1:13" x14ac:dyDescent="0.35">
      <c r="A73" t="s">
        <v>109</v>
      </c>
      <c r="B73" t="s">
        <v>54</v>
      </c>
      <c r="C73" t="s">
        <v>16</v>
      </c>
      <c r="D73" t="s">
        <v>52</v>
      </c>
      <c r="E73" t="s">
        <v>22</v>
      </c>
      <c r="F73">
        <v>90</v>
      </c>
      <c r="G73" s="9">
        <v>13486</v>
      </c>
      <c r="H73" s="10">
        <v>12</v>
      </c>
      <c r="I73" s="10">
        <v>53</v>
      </c>
      <c r="J73" t="str">
        <f t="shared" si="4"/>
        <v>61+</v>
      </c>
      <c r="K73" t="str">
        <f t="shared" si="5"/>
        <v>Elderly</v>
      </c>
      <c r="L73" t="str">
        <f t="shared" si="6"/>
        <v>High Cost</v>
      </c>
      <c r="M73" t="str">
        <f t="shared" si="7"/>
        <v>Poor</v>
      </c>
    </row>
    <row r="74" spans="1:13" x14ac:dyDescent="0.35">
      <c r="A74" t="s">
        <v>110</v>
      </c>
      <c r="B74" t="s">
        <v>24</v>
      </c>
      <c r="C74" t="s">
        <v>45</v>
      </c>
      <c r="D74" t="s">
        <v>36</v>
      </c>
      <c r="E74" t="s">
        <v>22</v>
      </c>
      <c r="F74">
        <v>60</v>
      </c>
      <c r="G74" s="9">
        <v>4851</v>
      </c>
      <c r="H74" s="10">
        <v>5</v>
      </c>
      <c r="I74" s="10">
        <v>88</v>
      </c>
      <c r="J74" t="str">
        <f t="shared" si="4"/>
        <v>41-60</v>
      </c>
      <c r="K74" t="str">
        <f t="shared" si="5"/>
        <v>Middle Age</v>
      </c>
      <c r="L74" t="str">
        <f t="shared" si="6"/>
        <v>Low Cost</v>
      </c>
      <c r="M74" t="str">
        <f t="shared" si="7"/>
        <v>Excellent</v>
      </c>
    </row>
    <row r="75" spans="1:13" x14ac:dyDescent="0.35">
      <c r="A75" t="s">
        <v>111</v>
      </c>
      <c r="B75" t="s">
        <v>49</v>
      </c>
      <c r="C75" t="s">
        <v>28</v>
      </c>
      <c r="D75" t="s">
        <v>21</v>
      </c>
      <c r="E75" t="s">
        <v>18</v>
      </c>
      <c r="F75">
        <v>65</v>
      </c>
      <c r="G75" s="9">
        <v>1073</v>
      </c>
      <c r="H75" s="10">
        <v>3</v>
      </c>
      <c r="I75" s="10">
        <v>78</v>
      </c>
      <c r="J75" t="str">
        <f t="shared" si="4"/>
        <v>61+</v>
      </c>
      <c r="K75" t="str">
        <f t="shared" si="5"/>
        <v>Elderly</v>
      </c>
      <c r="L75" t="str">
        <f t="shared" si="6"/>
        <v>Low Cost</v>
      </c>
      <c r="M75" t="str">
        <f t="shared" si="7"/>
        <v>Good</v>
      </c>
    </row>
    <row r="76" spans="1:13" x14ac:dyDescent="0.35">
      <c r="A76" t="s">
        <v>112</v>
      </c>
      <c r="B76" t="s">
        <v>27</v>
      </c>
      <c r="C76" t="s">
        <v>28</v>
      </c>
      <c r="D76" t="s">
        <v>39</v>
      </c>
      <c r="E76" t="s">
        <v>22</v>
      </c>
      <c r="F76">
        <v>32</v>
      </c>
      <c r="G76" s="9">
        <v>1920</v>
      </c>
      <c r="H76" s="10">
        <v>3</v>
      </c>
      <c r="I76" s="10">
        <v>67</v>
      </c>
      <c r="J76" t="str">
        <f t="shared" si="4"/>
        <v>21-40</v>
      </c>
      <c r="K76" t="str">
        <f t="shared" si="5"/>
        <v>Adult</v>
      </c>
      <c r="L76" t="str">
        <f t="shared" si="6"/>
        <v>Low Cost</v>
      </c>
      <c r="M76" t="str">
        <f t="shared" si="7"/>
        <v>Good</v>
      </c>
    </row>
    <row r="77" spans="1:13" x14ac:dyDescent="0.35">
      <c r="A77" t="s">
        <v>113</v>
      </c>
      <c r="B77" t="s">
        <v>54</v>
      </c>
      <c r="C77" t="s">
        <v>28</v>
      </c>
      <c r="D77" t="s">
        <v>65</v>
      </c>
      <c r="E77" t="s">
        <v>22</v>
      </c>
      <c r="F77">
        <v>10</v>
      </c>
      <c r="G77" s="9">
        <v>1661</v>
      </c>
      <c r="H77" s="10">
        <v>2</v>
      </c>
      <c r="I77" s="10">
        <v>65</v>
      </c>
      <c r="J77" t="str">
        <f t="shared" si="4"/>
        <v>0-20</v>
      </c>
      <c r="K77" t="str">
        <f t="shared" si="5"/>
        <v>Child</v>
      </c>
      <c r="L77" t="str">
        <f t="shared" si="6"/>
        <v>Low Cost</v>
      </c>
      <c r="M77" t="str">
        <f t="shared" si="7"/>
        <v>Good</v>
      </c>
    </row>
    <row r="78" spans="1:13" x14ac:dyDescent="0.35">
      <c r="A78" t="s">
        <v>114</v>
      </c>
      <c r="B78" t="s">
        <v>49</v>
      </c>
      <c r="C78" t="s">
        <v>31</v>
      </c>
      <c r="D78" t="s">
        <v>34</v>
      </c>
      <c r="E78" t="s">
        <v>18</v>
      </c>
      <c r="F78">
        <v>11</v>
      </c>
      <c r="G78" s="9">
        <v>2133</v>
      </c>
      <c r="H78" s="10">
        <v>4</v>
      </c>
      <c r="I78" s="10">
        <v>64</v>
      </c>
      <c r="J78" t="str">
        <f t="shared" si="4"/>
        <v>0-20</v>
      </c>
      <c r="K78" t="str">
        <f t="shared" si="5"/>
        <v>Child</v>
      </c>
      <c r="L78" t="str">
        <f t="shared" si="6"/>
        <v>Low Cost</v>
      </c>
      <c r="M78" t="str">
        <f t="shared" si="7"/>
        <v>Good</v>
      </c>
    </row>
    <row r="79" spans="1:13" x14ac:dyDescent="0.35">
      <c r="A79" t="s">
        <v>115</v>
      </c>
      <c r="B79" t="s">
        <v>30</v>
      </c>
      <c r="C79" t="s">
        <v>45</v>
      </c>
      <c r="D79" t="s">
        <v>65</v>
      </c>
      <c r="E79" t="s">
        <v>22</v>
      </c>
      <c r="F79">
        <v>53</v>
      </c>
      <c r="G79" s="9">
        <v>3210</v>
      </c>
      <c r="H79" s="10">
        <v>5</v>
      </c>
      <c r="I79" s="10">
        <v>79</v>
      </c>
      <c r="J79" t="str">
        <f t="shared" si="4"/>
        <v>41-60</v>
      </c>
      <c r="K79" t="str">
        <f t="shared" si="5"/>
        <v>Middle Age</v>
      </c>
      <c r="L79" t="str">
        <f t="shared" si="6"/>
        <v>Low Cost</v>
      </c>
      <c r="M79" t="str">
        <f t="shared" si="7"/>
        <v>Good</v>
      </c>
    </row>
    <row r="80" spans="1:13" x14ac:dyDescent="0.35">
      <c r="A80" t="s">
        <v>116</v>
      </c>
      <c r="B80" t="s">
        <v>30</v>
      </c>
      <c r="C80" t="s">
        <v>16</v>
      </c>
      <c r="D80" t="s">
        <v>65</v>
      </c>
      <c r="E80" t="s">
        <v>18</v>
      </c>
      <c r="F80">
        <v>50</v>
      </c>
      <c r="G80" s="9">
        <v>19824</v>
      </c>
      <c r="H80" s="10">
        <v>14</v>
      </c>
      <c r="I80" s="10">
        <v>94</v>
      </c>
      <c r="J80" t="str">
        <f t="shared" si="4"/>
        <v>41-60</v>
      </c>
      <c r="K80" t="str">
        <f t="shared" si="5"/>
        <v>Middle Age</v>
      </c>
      <c r="L80" t="str">
        <f t="shared" si="6"/>
        <v>High Cost</v>
      </c>
      <c r="M80" t="str">
        <f t="shared" si="7"/>
        <v>Excellent</v>
      </c>
    </row>
    <row r="81" spans="1:13" x14ac:dyDescent="0.35">
      <c r="A81" t="s">
        <v>117</v>
      </c>
      <c r="B81" t="s">
        <v>20</v>
      </c>
      <c r="C81" t="s">
        <v>28</v>
      </c>
      <c r="D81" t="s">
        <v>39</v>
      </c>
      <c r="E81" t="s">
        <v>22</v>
      </c>
      <c r="F81">
        <v>46</v>
      </c>
      <c r="G81" s="9">
        <v>811</v>
      </c>
      <c r="H81" s="10">
        <v>2</v>
      </c>
      <c r="I81" s="10">
        <v>76</v>
      </c>
      <c r="J81" t="str">
        <f t="shared" si="4"/>
        <v>41-60</v>
      </c>
      <c r="K81" t="str">
        <f t="shared" si="5"/>
        <v>Middle Age</v>
      </c>
      <c r="L81" t="str">
        <f t="shared" si="6"/>
        <v>Low Cost</v>
      </c>
      <c r="M81" t="str">
        <f t="shared" si="7"/>
        <v>Good</v>
      </c>
    </row>
    <row r="82" spans="1:13" x14ac:dyDescent="0.35">
      <c r="A82" t="s">
        <v>118</v>
      </c>
      <c r="B82" t="s">
        <v>24</v>
      </c>
      <c r="C82" t="s">
        <v>45</v>
      </c>
      <c r="D82" t="s">
        <v>39</v>
      </c>
      <c r="E82" t="s">
        <v>22</v>
      </c>
      <c r="F82">
        <v>56</v>
      </c>
      <c r="G82" s="9">
        <v>4478</v>
      </c>
      <c r="H82" s="10">
        <v>1</v>
      </c>
      <c r="I82" s="10">
        <v>74</v>
      </c>
      <c r="J82" t="str">
        <f t="shared" si="4"/>
        <v>41-60</v>
      </c>
      <c r="K82" t="str">
        <f t="shared" si="5"/>
        <v>Middle Age</v>
      </c>
      <c r="L82" t="str">
        <f t="shared" si="6"/>
        <v>Low Cost</v>
      </c>
      <c r="M82" t="str">
        <f t="shared" si="7"/>
        <v>Good</v>
      </c>
    </row>
    <row r="83" spans="1:13" x14ac:dyDescent="0.35">
      <c r="A83" t="s">
        <v>119</v>
      </c>
      <c r="B83" t="s">
        <v>49</v>
      </c>
      <c r="C83" t="s">
        <v>28</v>
      </c>
      <c r="D83" t="s">
        <v>47</v>
      </c>
      <c r="E83" t="s">
        <v>18</v>
      </c>
      <c r="F83">
        <v>17</v>
      </c>
      <c r="G83" s="9">
        <v>1474</v>
      </c>
      <c r="H83" s="10">
        <v>3</v>
      </c>
      <c r="I83" s="10">
        <v>51</v>
      </c>
      <c r="J83" t="str">
        <f t="shared" si="4"/>
        <v>0-20</v>
      </c>
      <c r="K83" t="str">
        <f t="shared" si="5"/>
        <v>Teenager</v>
      </c>
      <c r="L83" t="str">
        <f t="shared" si="6"/>
        <v>Low Cost</v>
      </c>
      <c r="M83" t="str">
        <f t="shared" si="7"/>
        <v>Poor</v>
      </c>
    </row>
    <row r="84" spans="1:13" x14ac:dyDescent="0.35">
      <c r="A84" t="s">
        <v>120</v>
      </c>
      <c r="B84" t="s">
        <v>30</v>
      </c>
      <c r="C84" t="s">
        <v>16</v>
      </c>
      <c r="D84" t="s">
        <v>36</v>
      </c>
      <c r="E84" t="s">
        <v>18</v>
      </c>
      <c r="F84">
        <v>18</v>
      </c>
      <c r="G84" s="9">
        <v>19202</v>
      </c>
      <c r="H84" s="10">
        <v>12</v>
      </c>
      <c r="I84" s="10">
        <v>61</v>
      </c>
      <c r="J84" t="str">
        <f t="shared" si="4"/>
        <v>0-20</v>
      </c>
      <c r="K84" t="str">
        <f t="shared" si="5"/>
        <v>Teenager</v>
      </c>
      <c r="L84" t="str">
        <f t="shared" si="6"/>
        <v>High Cost</v>
      </c>
      <c r="M84" t="str">
        <f t="shared" si="7"/>
        <v>Good</v>
      </c>
    </row>
    <row r="85" spans="1:13" x14ac:dyDescent="0.35">
      <c r="A85" t="s">
        <v>121</v>
      </c>
      <c r="B85" t="s">
        <v>20</v>
      </c>
      <c r="C85" t="s">
        <v>31</v>
      </c>
      <c r="D85" t="s">
        <v>52</v>
      </c>
      <c r="E85" t="s">
        <v>22</v>
      </c>
      <c r="F85">
        <v>59</v>
      </c>
      <c r="G85" s="9">
        <v>3677</v>
      </c>
      <c r="H85" s="10">
        <v>7</v>
      </c>
      <c r="I85" s="10">
        <v>98</v>
      </c>
      <c r="J85" t="str">
        <f t="shared" si="4"/>
        <v>41-60</v>
      </c>
      <c r="K85" t="str">
        <f t="shared" si="5"/>
        <v>Middle Age</v>
      </c>
      <c r="L85" t="str">
        <f t="shared" si="6"/>
        <v>Low Cost</v>
      </c>
      <c r="M85" t="str">
        <f t="shared" si="7"/>
        <v>Excellent</v>
      </c>
    </row>
    <row r="86" spans="1:13" x14ac:dyDescent="0.35">
      <c r="A86" t="s">
        <v>122</v>
      </c>
      <c r="B86" t="s">
        <v>30</v>
      </c>
      <c r="C86" t="s">
        <v>31</v>
      </c>
      <c r="D86" t="s">
        <v>52</v>
      </c>
      <c r="E86" t="s">
        <v>22</v>
      </c>
      <c r="F86">
        <v>11</v>
      </c>
      <c r="G86" s="9">
        <v>4852</v>
      </c>
      <c r="H86" s="10">
        <v>2</v>
      </c>
      <c r="I86" s="10">
        <v>97</v>
      </c>
      <c r="J86" t="str">
        <f t="shared" si="4"/>
        <v>0-20</v>
      </c>
      <c r="K86" t="str">
        <f t="shared" si="5"/>
        <v>Child</v>
      </c>
      <c r="L86" t="str">
        <f t="shared" si="6"/>
        <v>Low Cost</v>
      </c>
      <c r="M86" t="str">
        <f t="shared" si="7"/>
        <v>Excellent</v>
      </c>
    </row>
    <row r="87" spans="1:13" x14ac:dyDescent="0.35">
      <c r="A87" t="s">
        <v>123</v>
      </c>
      <c r="B87" t="s">
        <v>24</v>
      </c>
      <c r="C87" t="s">
        <v>16</v>
      </c>
      <c r="D87" t="s">
        <v>34</v>
      </c>
      <c r="E87" t="s">
        <v>22</v>
      </c>
      <c r="F87">
        <v>9</v>
      </c>
      <c r="G87" s="9">
        <v>17799</v>
      </c>
      <c r="H87" s="10">
        <v>15</v>
      </c>
      <c r="I87" s="10">
        <v>52</v>
      </c>
      <c r="J87" t="str">
        <f t="shared" si="4"/>
        <v>0-20</v>
      </c>
      <c r="K87" t="str">
        <f t="shared" si="5"/>
        <v>Child</v>
      </c>
      <c r="L87" t="str">
        <f t="shared" si="6"/>
        <v>High Cost</v>
      </c>
      <c r="M87" t="str">
        <f t="shared" si="7"/>
        <v>Poor</v>
      </c>
    </row>
    <row r="88" spans="1:13" x14ac:dyDescent="0.35">
      <c r="A88" t="s">
        <v>124</v>
      </c>
      <c r="B88" t="s">
        <v>54</v>
      </c>
      <c r="C88" t="s">
        <v>16</v>
      </c>
      <c r="D88" t="s">
        <v>65</v>
      </c>
      <c r="E88" t="s">
        <v>22</v>
      </c>
      <c r="F88">
        <v>3</v>
      </c>
      <c r="G88" s="9">
        <v>15179</v>
      </c>
      <c r="H88" s="10">
        <v>7</v>
      </c>
      <c r="I88" s="10">
        <v>65</v>
      </c>
      <c r="J88" t="str">
        <f t="shared" si="4"/>
        <v>0-20</v>
      </c>
      <c r="K88" t="str">
        <f t="shared" si="5"/>
        <v>Infant</v>
      </c>
      <c r="L88" t="str">
        <f t="shared" si="6"/>
        <v>High Cost</v>
      </c>
      <c r="M88" t="str">
        <f t="shared" si="7"/>
        <v>Good</v>
      </c>
    </row>
    <row r="89" spans="1:13" x14ac:dyDescent="0.35">
      <c r="A89" t="s">
        <v>125</v>
      </c>
      <c r="B89" t="s">
        <v>27</v>
      </c>
      <c r="C89" t="s">
        <v>28</v>
      </c>
      <c r="D89" t="s">
        <v>36</v>
      </c>
      <c r="E89" t="s">
        <v>18</v>
      </c>
      <c r="F89">
        <v>28</v>
      </c>
      <c r="G89" s="9">
        <v>1152</v>
      </c>
      <c r="H89" s="10">
        <v>3</v>
      </c>
      <c r="I89" s="10">
        <v>66</v>
      </c>
      <c r="J89" t="str">
        <f t="shared" si="4"/>
        <v>21-40</v>
      </c>
      <c r="K89" t="str">
        <f t="shared" si="5"/>
        <v>Youth</v>
      </c>
      <c r="L89" t="str">
        <f t="shared" si="6"/>
        <v>Low Cost</v>
      </c>
      <c r="M89" t="str">
        <f t="shared" si="7"/>
        <v>Good</v>
      </c>
    </row>
    <row r="90" spans="1:13" x14ac:dyDescent="0.35">
      <c r="A90" t="s">
        <v>126</v>
      </c>
      <c r="B90" t="s">
        <v>54</v>
      </c>
      <c r="C90" t="s">
        <v>31</v>
      </c>
      <c r="D90" t="s">
        <v>47</v>
      </c>
      <c r="E90" t="s">
        <v>18</v>
      </c>
      <c r="F90">
        <v>15</v>
      </c>
      <c r="G90" s="9">
        <v>2341</v>
      </c>
      <c r="H90" s="10">
        <v>6</v>
      </c>
      <c r="I90" s="10">
        <v>56</v>
      </c>
      <c r="J90" t="str">
        <f t="shared" si="4"/>
        <v>0-20</v>
      </c>
      <c r="K90" t="str">
        <f t="shared" si="5"/>
        <v>Teenager</v>
      </c>
      <c r="L90" t="str">
        <f t="shared" si="6"/>
        <v>Low Cost</v>
      </c>
      <c r="M90" t="str">
        <f t="shared" si="7"/>
        <v>Poor</v>
      </c>
    </row>
    <row r="91" spans="1:13" x14ac:dyDescent="0.35">
      <c r="A91" t="s">
        <v>127</v>
      </c>
      <c r="B91" t="s">
        <v>24</v>
      </c>
      <c r="C91" t="s">
        <v>16</v>
      </c>
      <c r="D91" t="s">
        <v>32</v>
      </c>
      <c r="E91" t="s">
        <v>18</v>
      </c>
      <c r="F91">
        <v>49</v>
      </c>
      <c r="G91" s="9">
        <v>11498</v>
      </c>
      <c r="H91" s="10">
        <v>8</v>
      </c>
      <c r="I91" s="10">
        <v>54</v>
      </c>
      <c r="J91" t="str">
        <f t="shared" si="4"/>
        <v>41-60</v>
      </c>
      <c r="K91" t="str">
        <f t="shared" si="5"/>
        <v>Middle Age</v>
      </c>
      <c r="L91" t="str">
        <f t="shared" si="6"/>
        <v>High Cost</v>
      </c>
      <c r="M91" t="str">
        <f t="shared" si="7"/>
        <v>Poor</v>
      </c>
    </row>
    <row r="92" spans="1:13" x14ac:dyDescent="0.35">
      <c r="A92" t="s">
        <v>128</v>
      </c>
      <c r="B92" t="s">
        <v>24</v>
      </c>
      <c r="C92" t="s">
        <v>45</v>
      </c>
      <c r="D92" t="s">
        <v>36</v>
      </c>
      <c r="E92" t="s">
        <v>18</v>
      </c>
      <c r="F92">
        <v>39</v>
      </c>
      <c r="G92" s="9">
        <v>1491</v>
      </c>
      <c r="H92" s="10">
        <v>5</v>
      </c>
      <c r="I92" s="10">
        <v>100</v>
      </c>
      <c r="J92" t="str">
        <f t="shared" si="4"/>
        <v>21-40</v>
      </c>
      <c r="K92" t="str">
        <f t="shared" si="5"/>
        <v>Adult</v>
      </c>
      <c r="L92" t="str">
        <f t="shared" si="6"/>
        <v>Low Cost</v>
      </c>
      <c r="M92" t="str">
        <f t="shared" si="7"/>
        <v>Excellent</v>
      </c>
    </row>
    <row r="93" spans="1:13" x14ac:dyDescent="0.35">
      <c r="A93" t="s">
        <v>129</v>
      </c>
      <c r="B93" t="s">
        <v>20</v>
      </c>
      <c r="C93" t="s">
        <v>31</v>
      </c>
      <c r="D93" t="s">
        <v>25</v>
      </c>
      <c r="E93" t="s">
        <v>22</v>
      </c>
      <c r="F93">
        <v>48</v>
      </c>
      <c r="G93" s="9">
        <v>1564</v>
      </c>
      <c r="H93" s="10">
        <v>10</v>
      </c>
      <c r="I93" s="10">
        <v>91</v>
      </c>
      <c r="J93" t="str">
        <f t="shared" si="4"/>
        <v>41-60</v>
      </c>
      <c r="K93" t="str">
        <f t="shared" si="5"/>
        <v>Middle Age</v>
      </c>
      <c r="L93" t="str">
        <f t="shared" si="6"/>
        <v>Low Cost</v>
      </c>
      <c r="M93" t="str">
        <f t="shared" si="7"/>
        <v>Excellent</v>
      </c>
    </row>
    <row r="94" spans="1:13" x14ac:dyDescent="0.35">
      <c r="A94" t="s">
        <v>130</v>
      </c>
      <c r="B94" t="s">
        <v>49</v>
      </c>
      <c r="C94" t="s">
        <v>16</v>
      </c>
      <c r="D94" t="s">
        <v>52</v>
      </c>
      <c r="E94" t="s">
        <v>18</v>
      </c>
      <c r="F94">
        <v>14</v>
      </c>
      <c r="G94" s="9">
        <v>12102</v>
      </c>
      <c r="H94" s="10">
        <v>10</v>
      </c>
      <c r="I94" s="10">
        <v>90</v>
      </c>
      <c r="J94" t="str">
        <f t="shared" si="4"/>
        <v>0-20</v>
      </c>
      <c r="K94" t="str">
        <f t="shared" si="5"/>
        <v>Teenager</v>
      </c>
      <c r="L94" t="str">
        <f t="shared" si="6"/>
        <v>High Cost</v>
      </c>
      <c r="M94" t="str">
        <f t="shared" si="7"/>
        <v>Excellent</v>
      </c>
    </row>
    <row r="95" spans="1:13" x14ac:dyDescent="0.35">
      <c r="A95" t="s">
        <v>131</v>
      </c>
      <c r="B95" t="s">
        <v>54</v>
      </c>
      <c r="C95" t="s">
        <v>28</v>
      </c>
      <c r="D95" t="s">
        <v>47</v>
      </c>
      <c r="E95" t="s">
        <v>22</v>
      </c>
      <c r="F95">
        <v>67</v>
      </c>
      <c r="G95" s="9">
        <v>1532</v>
      </c>
      <c r="H95" s="10">
        <v>2</v>
      </c>
      <c r="I95" s="10">
        <v>89</v>
      </c>
      <c r="J95" t="str">
        <f t="shared" si="4"/>
        <v>61+</v>
      </c>
      <c r="K95" t="str">
        <f t="shared" si="5"/>
        <v>Elderly</v>
      </c>
      <c r="L95" t="str">
        <f t="shared" si="6"/>
        <v>Low Cost</v>
      </c>
      <c r="M95" t="str">
        <f t="shared" si="7"/>
        <v>Excellent</v>
      </c>
    </row>
    <row r="96" spans="1:13" x14ac:dyDescent="0.35">
      <c r="A96" t="s">
        <v>132</v>
      </c>
      <c r="B96" t="s">
        <v>54</v>
      </c>
      <c r="C96" t="s">
        <v>28</v>
      </c>
      <c r="D96" t="s">
        <v>39</v>
      </c>
      <c r="E96" t="s">
        <v>22</v>
      </c>
      <c r="F96">
        <v>76</v>
      </c>
      <c r="G96" s="9">
        <v>749</v>
      </c>
      <c r="H96" s="10">
        <v>2</v>
      </c>
      <c r="I96" s="10">
        <v>65</v>
      </c>
      <c r="J96" t="str">
        <f t="shared" si="4"/>
        <v>61+</v>
      </c>
      <c r="K96" t="str">
        <f t="shared" si="5"/>
        <v>Elderly</v>
      </c>
      <c r="L96" t="str">
        <f t="shared" si="6"/>
        <v>Low Cost</v>
      </c>
      <c r="M96" t="str">
        <f t="shared" si="7"/>
        <v>Good</v>
      </c>
    </row>
    <row r="97" spans="1:13" x14ac:dyDescent="0.35">
      <c r="A97" t="s">
        <v>133</v>
      </c>
      <c r="B97" t="s">
        <v>54</v>
      </c>
      <c r="C97" t="s">
        <v>16</v>
      </c>
      <c r="D97" t="s">
        <v>32</v>
      </c>
      <c r="E97" t="s">
        <v>18</v>
      </c>
      <c r="F97">
        <v>32</v>
      </c>
      <c r="G97" s="9">
        <v>17295</v>
      </c>
      <c r="H97" s="10">
        <v>12</v>
      </c>
      <c r="I97" s="10">
        <v>86</v>
      </c>
      <c r="J97" t="str">
        <f t="shared" si="4"/>
        <v>21-40</v>
      </c>
      <c r="K97" t="str">
        <f t="shared" si="5"/>
        <v>Adult</v>
      </c>
      <c r="L97" t="str">
        <f t="shared" si="6"/>
        <v>High Cost</v>
      </c>
      <c r="M97" t="str">
        <f t="shared" si="7"/>
        <v>Excellent</v>
      </c>
    </row>
    <row r="98" spans="1:13" x14ac:dyDescent="0.35">
      <c r="A98" t="s">
        <v>134</v>
      </c>
      <c r="B98" t="s">
        <v>24</v>
      </c>
      <c r="C98" t="s">
        <v>28</v>
      </c>
      <c r="D98" t="s">
        <v>34</v>
      </c>
      <c r="E98" t="s">
        <v>22</v>
      </c>
      <c r="F98">
        <v>42</v>
      </c>
      <c r="G98" s="9">
        <v>572</v>
      </c>
      <c r="H98" s="10">
        <v>2</v>
      </c>
      <c r="I98" s="10">
        <v>63</v>
      </c>
      <c r="J98" t="str">
        <f t="shared" si="4"/>
        <v>41-60</v>
      </c>
      <c r="K98" t="str">
        <f t="shared" si="5"/>
        <v>Adult</v>
      </c>
      <c r="L98" t="str">
        <f t="shared" si="6"/>
        <v>Low Cost</v>
      </c>
      <c r="M98" t="str">
        <f t="shared" si="7"/>
        <v>Good</v>
      </c>
    </row>
    <row r="99" spans="1:13" x14ac:dyDescent="0.35">
      <c r="A99" t="s">
        <v>135</v>
      </c>
      <c r="B99" t="s">
        <v>49</v>
      </c>
      <c r="C99" t="s">
        <v>31</v>
      </c>
      <c r="D99" t="s">
        <v>34</v>
      </c>
      <c r="E99" t="s">
        <v>22</v>
      </c>
      <c r="F99">
        <v>77</v>
      </c>
      <c r="G99" s="9">
        <v>6744</v>
      </c>
      <c r="H99" s="10">
        <v>6</v>
      </c>
      <c r="I99" s="10">
        <v>85</v>
      </c>
      <c r="J99" t="str">
        <f t="shared" si="4"/>
        <v>61+</v>
      </c>
      <c r="K99" t="str">
        <f t="shared" si="5"/>
        <v>Elderly</v>
      </c>
      <c r="L99" t="str">
        <f t="shared" si="6"/>
        <v>Low Cost</v>
      </c>
      <c r="M99" t="str">
        <f t="shared" si="7"/>
        <v>Excellent</v>
      </c>
    </row>
    <row r="100" spans="1:13" x14ac:dyDescent="0.35">
      <c r="A100" t="s">
        <v>136</v>
      </c>
      <c r="B100" t="s">
        <v>20</v>
      </c>
      <c r="C100" t="s">
        <v>45</v>
      </c>
      <c r="D100" t="s">
        <v>36</v>
      </c>
      <c r="E100" t="s">
        <v>22</v>
      </c>
      <c r="F100">
        <v>53</v>
      </c>
      <c r="G100" s="9">
        <v>4502</v>
      </c>
      <c r="H100" s="10">
        <v>5</v>
      </c>
      <c r="I100" s="10">
        <v>98</v>
      </c>
      <c r="J100" t="str">
        <f t="shared" si="4"/>
        <v>41-60</v>
      </c>
      <c r="K100" t="str">
        <f t="shared" si="5"/>
        <v>Middle Age</v>
      </c>
      <c r="L100" t="str">
        <f t="shared" si="6"/>
        <v>Low Cost</v>
      </c>
      <c r="M100" t="str">
        <f t="shared" si="7"/>
        <v>Excellent</v>
      </c>
    </row>
    <row r="101" spans="1:13" x14ac:dyDescent="0.35">
      <c r="A101" t="s">
        <v>137</v>
      </c>
      <c r="B101" t="s">
        <v>27</v>
      </c>
      <c r="C101" t="s">
        <v>28</v>
      </c>
      <c r="D101" t="s">
        <v>39</v>
      </c>
      <c r="E101" t="s">
        <v>22</v>
      </c>
      <c r="F101">
        <v>3</v>
      </c>
      <c r="G101" s="9">
        <v>390</v>
      </c>
      <c r="H101" s="10">
        <v>2</v>
      </c>
      <c r="I101" s="10">
        <v>64</v>
      </c>
      <c r="J101" t="str">
        <f t="shared" si="4"/>
        <v>0-20</v>
      </c>
      <c r="K101" t="str">
        <f t="shared" si="5"/>
        <v>Infant</v>
      </c>
      <c r="L101" t="str">
        <f t="shared" si="6"/>
        <v>Low Cost</v>
      </c>
      <c r="M101" t="str">
        <f t="shared" si="7"/>
        <v>Good</v>
      </c>
    </row>
    <row r="102" spans="1:13" x14ac:dyDescent="0.35">
      <c r="A102" t="s">
        <v>138</v>
      </c>
      <c r="B102" t="s">
        <v>30</v>
      </c>
      <c r="C102" t="s">
        <v>45</v>
      </c>
      <c r="D102" t="s">
        <v>32</v>
      </c>
      <c r="E102" t="s">
        <v>18</v>
      </c>
      <c r="F102">
        <v>48</v>
      </c>
      <c r="G102" s="9">
        <v>4376</v>
      </c>
      <c r="H102" s="10">
        <v>5</v>
      </c>
      <c r="I102" s="10">
        <v>83</v>
      </c>
      <c r="J102" t="str">
        <f t="shared" si="4"/>
        <v>41-60</v>
      </c>
      <c r="K102" t="str">
        <f t="shared" si="5"/>
        <v>Middle Age</v>
      </c>
      <c r="L102" t="str">
        <f t="shared" si="6"/>
        <v>Low Cost</v>
      </c>
      <c r="M102" t="str">
        <f t="shared" si="7"/>
        <v>Excellent</v>
      </c>
    </row>
    <row r="103" spans="1:13" x14ac:dyDescent="0.35">
      <c r="A103" t="s">
        <v>139</v>
      </c>
      <c r="B103" t="s">
        <v>49</v>
      </c>
      <c r="C103" t="s">
        <v>28</v>
      </c>
      <c r="D103" t="s">
        <v>25</v>
      </c>
      <c r="E103" t="s">
        <v>22</v>
      </c>
      <c r="F103">
        <v>90</v>
      </c>
      <c r="G103" s="9">
        <v>1129</v>
      </c>
      <c r="H103" s="10">
        <v>2</v>
      </c>
      <c r="I103" s="10">
        <v>69</v>
      </c>
      <c r="J103" t="str">
        <f t="shared" si="4"/>
        <v>61+</v>
      </c>
      <c r="K103" t="str">
        <f t="shared" si="5"/>
        <v>Elderly</v>
      </c>
      <c r="L103" t="str">
        <f t="shared" si="6"/>
        <v>Low Cost</v>
      </c>
      <c r="M103" t="str">
        <f t="shared" si="7"/>
        <v>Good</v>
      </c>
    </row>
    <row r="104" spans="1:13" x14ac:dyDescent="0.35">
      <c r="A104" t="s">
        <v>140</v>
      </c>
      <c r="B104" t="s">
        <v>49</v>
      </c>
      <c r="C104" t="s">
        <v>45</v>
      </c>
      <c r="D104" t="s">
        <v>36</v>
      </c>
      <c r="E104" t="s">
        <v>18</v>
      </c>
      <c r="F104">
        <v>41</v>
      </c>
      <c r="G104" s="9">
        <v>1479</v>
      </c>
      <c r="H104" s="10">
        <v>5</v>
      </c>
      <c r="I104" s="10">
        <v>98</v>
      </c>
      <c r="J104" t="str">
        <f t="shared" si="4"/>
        <v>41-60</v>
      </c>
      <c r="K104" t="str">
        <f t="shared" si="5"/>
        <v>Adult</v>
      </c>
      <c r="L104" t="str">
        <f t="shared" si="6"/>
        <v>Low Cost</v>
      </c>
      <c r="M104" t="str">
        <f t="shared" si="7"/>
        <v>Excellent</v>
      </c>
    </row>
    <row r="105" spans="1:13" x14ac:dyDescent="0.35">
      <c r="A105" t="s">
        <v>141</v>
      </c>
      <c r="B105" t="s">
        <v>15</v>
      </c>
      <c r="C105" t="s">
        <v>45</v>
      </c>
      <c r="D105" t="s">
        <v>65</v>
      </c>
      <c r="E105" t="s">
        <v>22</v>
      </c>
      <c r="F105">
        <v>62</v>
      </c>
      <c r="G105" s="9">
        <v>2765</v>
      </c>
      <c r="H105" s="10">
        <v>5</v>
      </c>
      <c r="I105" s="10">
        <v>98</v>
      </c>
      <c r="J105" t="str">
        <f t="shared" si="4"/>
        <v>61+</v>
      </c>
      <c r="K105" t="str">
        <f t="shared" si="5"/>
        <v>Elderly</v>
      </c>
      <c r="L105" t="str">
        <f t="shared" si="6"/>
        <v>Low Cost</v>
      </c>
      <c r="M105" t="str">
        <f t="shared" si="7"/>
        <v>Excellent</v>
      </c>
    </row>
    <row r="106" spans="1:13" x14ac:dyDescent="0.35">
      <c r="A106" t="s">
        <v>142</v>
      </c>
      <c r="B106" t="s">
        <v>24</v>
      </c>
      <c r="C106" t="s">
        <v>31</v>
      </c>
      <c r="D106" t="s">
        <v>36</v>
      </c>
      <c r="E106" t="s">
        <v>18</v>
      </c>
      <c r="F106">
        <v>38</v>
      </c>
      <c r="G106" s="9">
        <v>2863</v>
      </c>
      <c r="H106" s="10">
        <v>7</v>
      </c>
      <c r="I106" s="10">
        <v>61</v>
      </c>
      <c r="J106" t="str">
        <f t="shared" si="4"/>
        <v>21-40</v>
      </c>
      <c r="K106" t="str">
        <f t="shared" si="5"/>
        <v>Adult</v>
      </c>
      <c r="L106" t="str">
        <f t="shared" si="6"/>
        <v>Low Cost</v>
      </c>
      <c r="M106" t="str">
        <f t="shared" si="7"/>
        <v>Good</v>
      </c>
    </row>
    <row r="107" spans="1:13" x14ac:dyDescent="0.35">
      <c r="A107" t="s">
        <v>143</v>
      </c>
      <c r="B107" t="s">
        <v>49</v>
      </c>
      <c r="C107" t="s">
        <v>16</v>
      </c>
      <c r="D107" t="s">
        <v>25</v>
      </c>
      <c r="E107" t="s">
        <v>22</v>
      </c>
      <c r="F107">
        <v>6</v>
      </c>
      <c r="G107" s="9">
        <v>5893</v>
      </c>
      <c r="H107" s="10">
        <v>13</v>
      </c>
      <c r="I107" s="10">
        <v>68</v>
      </c>
      <c r="J107" t="str">
        <f t="shared" si="4"/>
        <v>0-20</v>
      </c>
      <c r="K107" t="str">
        <f t="shared" si="5"/>
        <v>Child</v>
      </c>
      <c r="L107" t="str">
        <f t="shared" si="6"/>
        <v>Low Cost</v>
      </c>
      <c r="M107" t="str">
        <f t="shared" si="7"/>
        <v>Good</v>
      </c>
    </row>
    <row r="108" spans="1:13" x14ac:dyDescent="0.35">
      <c r="A108" t="s">
        <v>144</v>
      </c>
      <c r="B108" t="s">
        <v>15</v>
      </c>
      <c r="C108" t="s">
        <v>45</v>
      </c>
      <c r="D108" t="s">
        <v>39</v>
      </c>
      <c r="E108" t="s">
        <v>22</v>
      </c>
      <c r="F108">
        <v>2</v>
      </c>
      <c r="G108" s="9">
        <v>2829</v>
      </c>
      <c r="H108" s="10">
        <v>4</v>
      </c>
      <c r="I108" s="10">
        <v>80</v>
      </c>
      <c r="J108" t="str">
        <f t="shared" si="4"/>
        <v>0-20</v>
      </c>
      <c r="K108" t="str">
        <f t="shared" si="5"/>
        <v>Infant</v>
      </c>
      <c r="L108" t="str">
        <f t="shared" si="6"/>
        <v>Low Cost</v>
      </c>
      <c r="M108" t="str">
        <f t="shared" si="7"/>
        <v>Excellent</v>
      </c>
    </row>
    <row r="109" spans="1:13" x14ac:dyDescent="0.35">
      <c r="A109" t="s">
        <v>145</v>
      </c>
      <c r="B109" t="s">
        <v>30</v>
      </c>
      <c r="C109" t="s">
        <v>31</v>
      </c>
      <c r="D109" t="s">
        <v>47</v>
      </c>
      <c r="E109" t="s">
        <v>18</v>
      </c>
      <c r="F109">
        <v>33</v>
      </c>
      <c r="G109" s="9">
        <v>4913</v>
      </c>
      <c r="H109" s="10">
        <v>3</v>
      </c>
      <c r="I109" s="10">
        <v>54</v>
      </c>
      <c r="J109" t="str">
        <f t="shared" si="4"/>
        <v>21-40</v>
      </c>
      <c r="K109" t="str">
        <f t="shared" si="5"/>
        <v>Adult</v>
      </c>
      <c r="L109" t="str">
        <f t="shared" si="6"/>
        <v>Low Cost</v>
      </c>
      <c r="M109" t="str">
        <f t="shared" si="7"/>
        <v>Poor</v>
      </c>
    </row>
    <row r="110" spans="1:13" x14ac:dyDescent="0.35">
      <c r="A110" t="s">
        <v>146</v>
      </c>
      <c r="B110" t="s">
        <v>30</v>
      </c>
      <c r="C110" t="s">
        <v>28</v>
      </c>
      <c r="D110" t="s">
        <v>36</v>
      </c>
      <c r="E110" t="s">
        <v>18</v>
      </c>
      <c r="F110">
        <v>88</v>
      </c>
      <c r="G110" s="9">
        <v>309</v>
      </c>
      <c r="H110" s="10">
        <v>1</v>
      </c>
      <c r="I110" s="10">
        <v>59</v>
      </c>
      <c r="J110" t="str">
        <f t="shared" si="4"/>
        <v>61+</v>
      </c>
      <c r="K110" t="str">
        <f t="shared" si="5"/>
        <v>Elderly</v>
      </c>
      <c r="L110" t="str">
        <f t="shared" si="6"/>
        <v>Low Cost</v>
      </c>
      <c r="M110" t="str">
        <f t="shared" si="7"/>
        <v>Poor</v>
      </c>
    </row>
    <row r="111" spans="1:13" x14ac:dyDescent="0.35">
      <c r="A111" t="s">
        <v>147</v>
      </c>
      <c r="B111" t="s">
        <v>54</v>
      </c>
      <c r="C111" t="s">
        <v>31</v>
      </c>
      <c r="D111" t="s">
        <v>36</v>
      </c>
      <c r="E111" t="s">
        <v>42</v>
      </c>
      <c r="F111">
        <v>16</v>
      </c>
      <c r="G111" s="9">
        <v>5571</v>
      </c>
      <c r="H111" s="10">
        <v>8</v>
      </c>
      <c r="I111" s="10">
        <v>88</v>
      </c>
      <c r="J111" t="str">
        <f t="shared" si="4"/>
        <v>0-20</v>
      </c>
      <c r="K111" t="str">
        <f t="shared" si="5"/>
        <v>Teenager</v>
      </c>
      <c r="L111" t="str">
        <f t="shared" si="6"/>
        <v>Low Cost</v>
      </c>
      <c r="M111" t="str">
        <f t="shared" si="7"/>
        <v>Excellent</v>
      </c>
    </row>
    <row r="112" spans="1:13" x14ac:dyDescent="0.35">
      <c r="A112" t="s">
        <v>148</v>
      </c>
      <c r="B112" t="s">
        <v>24</v>
      </c>
      <c r="C112" t="s">
        <v>45</v>
      </c>
      <c r="D112" t="s">
        <v>25</v>
      </c>
      <c r="E112" t="s">
        <v>22</v>
      </c>
      <c r="F112">
        <v>57</v>
      </c>
      <c r="G112" s="9">
        <v>2935</v>
      </c>
      <c r="H112" s="10">
        <v>5</v>
      </c>
      <c r="I112" s="10">
        <v>77</v>
      </c>
      <c r="J112" t="str">
        <f t="shared" si="4"/>
        <v>41-60</v>
      </c>
      <c r="K112" t="str">
        <f t="shared" si="5"/>
        <v>Middle Age</v>
      </c>
      <c r="L112" t="str">
        <f t="shared" si="6"/>
        <v>Low Cost</v>
      </c>
      <c r="M112" t="str">
        <f t="shared" si="7"/>
        <v>Good</v>
      </c>
    </row>
    <row r="113" spans="1:13" x14ac:dyDescent="0.35">
      <c r="A113" t="s">
        <v>149</v>
      </c>
      <c r="B113" t="s">
        <v>49</v>
      </c>
      <c r="C113" t="s">
        <v>16</v>
      </c>
      <c r="D113" t="s">
        <v>21</v>
      </c>
      <c r="E113" t="s">
        <v>18</v>
      </c>
      <c r="F113">
        <v>13</v>
      </c>
      <c r="G113" s="9">
        <v>17496</v>
      </c>
      <c r="H113" s="10">
        <v>8</v>
      </c>
      <c r="I113" s="10">
        <v>90</v>
      </c>
      <c r="J113" t="str">
        <f t="shared" si="4"/>
        <v>0-20</v>
      </c>
      <c r="K113" t="str">
        <f t="shared" si="5"/>
        <v>Teenager</v>
      </c>
      <c r="L113" t="str">
        <f t="shared" si="6"/>
        <v>High Cost</v>
      </c>
      <c r="M113" t="str">
        <f t="shared" si="7"/>
        <v>Excellent</v>
      </c>
    </row>
    <row r="114" spans="1:13" x14ac:dyDescent="0.35">
      <c r="A114" t="s">
        <v>150</v>
      </c>
      <c r="B114" t="s">
        <v>27</v>
      </c>
      <c r="C114" t="s">
        <v>31</v>
      </c>
      <c r="D114" t="s">
        <v>36</v>
      </c>
      <c r="E114" t="s">
        <v>22</v>
      </c>
      <c r="F114">
        <v>23</v>
      </c>
      <c r="G114" s="9">
        <v>5521</v>
      </c>
      <c r="H114" s="10">
        <v>3</v>
      </c>
      <c r="I114" s="10">
        <v>60</v>
      </c>
      <c r="J114" t="str">
        <f t="shared" si="4"/>
        <v>21-40</v>
      </c>
      <c r="K114" t="str">
        <f t="shared" si="5"/>
        <v>Youth</v>
      </c>
      <c r="L114" t="str">
        <f t="shared" si="6"/>
        <v>Low Cost</v>
      </c>
      <c r="M114" t="str">
        <f t="shared" si="7"/>
        <v>Good</v>
      </c>
    </row>
    <row r="115" spans="1:13" x14ac:dyDescent="0.35">
      <c r="A115" t="s">
        <v>151</v>
      </c>
      <c r="B115" t="s">
        <v>20</v>
      </c>
      <c r="C115" t="s">
        <v>28</v>
      </c>
      <c r="D115" t="s">
        <v>39</v>
      </c>
      <c r="E115" t="s">
        <v>18</v>
      </c>
      <c r="F115">
        <v>61</v>
      </c>
      <c r="G115" s="9">
        <v>796</v>
      </c>
      <c r="H115" s="10">
        <v>1</v>
      </c>
      <c r="I115" s="10">
        <v>64</v>
      </c>
      <c r="J115" t="str">
        <f t="shared" si="4"/>
        <v>61+</v>
      </c>
      <c r="K115" t="str">
        <f t="shared" si="5"/>
        <v>Elderly</v>
      </c>
      <c r="L115" t="str">
        <f t="shared" si="6"/>
        <v>Low Cost</v>
      </c>
      <c r="M115" t="str">
        <f t="shared" si="7"/>
        <v>Good</v>
      </c>
    </row>
    <row r="116" spans="1:13" x14ac:dyDescent="0.35">
      <c r="A116" t="s">
        <v>152</v>
      </c>
      <c r="B116" t="s">
        <v>49</v>
      </c>
      <c r="C116" t="s">
        <v>31</v>
      </c>
      <c r="D116" t="s">
        <v>39</v>
      </c>
      <c r="E116" t="s">
        <v>22</v>
      </c>
      <c r="F116">
        <v>30</v>
      </c>
      <c r="G116" s="9">
        <v>3167</v>
      </c>
      <c r="H116" s="10">
        <v>5</v>
      </c>
      <c r="I116" s="10">
        <v>77</v>
      </c>
      <c r="J116" t="str">
        <f t="shared" si="4"/>
        <v>21-40</v>
      </c>
      <c r="K116" t="str">
        <f t="shared" si="5"/>
        <v>Adult</v>
      </c>
      <c r="L116" t="str">
        <f t="shared" si="6"/>
        <v>Low Cost</v>
      </c>
      <c r="M116" t="str">
        <f t="shared" si="7"/>
        <v>Good</v>
      </c>
    </row>
    <row r="117" spans="1:13" x14ac:dyDescent="0.35">
      <c r="A117" t="s">
        <v>153</v>
      </c>
      <c r="B117" t="s">
        <v>20</v>
      </c>
      <c r="C117" t="s">
        <v>45</v>
      </c>
      <c r="D117" t="s">
        <v>47</v>
      </c>
      <c r="E117" t="s">
        <v>18</v>
      </c>
      <c r="F117">
        <v>19</v>
      </c>
      <c r="G117" s="9">
        <v>1084</v>
      </c>
      <c r="H117" s="10">
        <v>1</v>
      </c>
      <c r="I117" s="10">
        <v>60</v>
      </c>
      <c r="J117" t="str">
        <f t="shared" si="4"/>
        <v>0-20</v>
      </c>
      <c r="K117" t="str">
        <f t="shared" si="5"/>
        <v>Teenager</v>
      </c>
      <c r="L117" t="str">
        <f t="shared" si="6"/>
        <v>Low Cost</v>
      </c>
      <c r="M117" t="str">
        <f t="shared" si="7"/>
        <v>Good</v>
      </c>
    </row>
    <row r="118" spans="1:13" x14ac:dyDescent="0.35">
      <c r="A118" t="s">
        <v>154</v>
      </c>
      <c r="B118" t="s">
        <v>54</v>
      </c>
      <c r="C118" t="s">
        <v>31</v>
      </c>
      <c r="D118" t="s">
        <v>21</v>
      </c>
      <c r="E118" t="s">
        <v>18</v>
      </c>
      <c r="F118">
        <v>73</v>
      </c>
      <c r="G118" s="9">
        <v>3364</v>
      </c>
      <c r="H118" s="10">
        <v>9</v>
      </c>
      <c r="I118" s="10">
        <v>57</v>
      </c>
      <c r="J118" t="str">
        <f t="shared" si="4"/>
        <v>61+</v>
      </c>
      <c r="K118" t="str">
        <f t="shared" si="5"/>
        <v>Elderly</v>
      </c>
      <c r="L118" t="str">
        <f t="shared" si="6"/>
        <v>Low Cost</v>
      </c>
      <c r="M118" t="str">
        <f t="shared" si="7"/>
        <v>Poor</v>
      </c>
    </row>
    <row r="119" spans="1:13" x14ac:dyDescent="0.35">
      <c r="A119" t="s">
        <v>155</v>
      </c>
      <c r="B119" t="s">
        <v>30</v>
      </c>
      <c r="C119" t="s">
        <v>31</v>
      </c>
      <c r="D119" t="s">
        <v>52</v>
      </c>
      <c r="E119" t="s">
        <v>18</v>
      </c>
      <c r="F119">
        <v>65</v>
      </c>
      <c r="G119" s="9">
        <v>5423</v>
      </c>
      <c r="H119" s="10">
        <v>9</v>
      </c>
      <c r="I119" s="10">
        <v>78</v>
      </c>
      <c r="J119" t="str">
        <f t="shared" si="4"/>
        <v>61+</v>
      </c>
      <c r="K119" t="str">
        <f t="shared" si="5"/>
        <v>Elderly</v>
      </c>
      <c r="L119" t="str">
        <f t="shared" si="6"/>
        <v>Low Cost</v>
      </c>
      <c r="M119" t="str">
        <f t="shared" si="7"/>
        <v>Good</v>
      </c>
    </row>
    <row r="120" spans="1:13" x14ac:dyDescent="0.35">
      <c r="A120" t="s">
        <v>156</v>
      </c>
      <c r="B120" t="s">
        <v>20</v>
      </c>
      <c r="C120" t="s">
        <v>16</v>
      </c>
      <c r="D120" t="s">
        <v>52</v>
      </c>
      <c r="E120" t="s">
        <v>18</v>
      </c>
      <c r="F120">
        <v>78</v>
      </c>
      <c r="G120" s="9">
        <v>9102</v>
      </c>
      <c r="H120" s="10">
        <v>5</v>
      </c>
      <c r="I120" s="10">
        <v>55</v>
      </c>
      <c r="J120" t="str">
        <f t="shared" si="4"/>
        <v>61+</v>
      </c>
      <c r="K120" t="str">
        <f t="shared" si="5"/>
        <v>Elderly</v>
      </c>
      <c r="L120" t="str">
        <f t="shared" si="6"/>
        <v>High Cost</v>
      </c>
      <c r="M120" t="str">
        <f t="shared" si="7"/>
        <v>Poor</v>
      </c>
    </row>
    <row r="121" spans="1:13" x14ac:dyDescent="0.35">
      <c r="A121" t="s">
        <v>157</v>
      </c>
      <c r="B121" t="s">
        <v>27</v>
      </c>
      <c r="C121" t="s">
        <v>16</v>
      </c>
      <c r="D121" t="s">
        <v>32</v>
      </c>
      <c r="E121" t="s">
        <v>18</v>
      </c>
      <c r="F121">
        <v>23</v>
      </c>
      <c r="G121" s="9">
        <v>12708</v>
      </c>
      <c r="H121" s="10">
        <v>13</v>
      </c>
      <c r="I121" s="10">
        <v>91</v>
      </c>
      <c r="J121" t="str">
        <f t="shared" si="4"/>
        <v>21-40</v>
      </c>
      <c r="K121" t="str">
        <f t="shared" si="5"/>
        <v>Youth</v>
      </c>
      <c r="L121" t="str">
        <f t="shared" si="6"/>
        <v>High Cost</v>
      </c>
      <c r="M121" t="str">
        <f t="shared" si="7"/>
        <v>Excellent</v>
      </c>
    </row>
    <row r="122" spans="1:13" x14ac:dyDescent="0.35">
      <c r="A122" t="s">
        <v>158</v>
      </c>
      <c r="B122" t="s">
        <v>30</v>
      </c>
      <c r="C122" t="s">
        <v>31</v>
      </c>
      <c r="D122" t="s">
        <v>47</v>
      </c>
      <c r="E122" t="s">
        <v>42</v>
      </c>
      <c r="F122">
        <v>56</v>
      </c>
      <c r="G122" s="9">
        <v>6200</v>
      </c>
      <c r="H122" s="10">
        <v>9</v>
      </c>
      <c r="I122" s="10">
        <v>55</v>
      </c>
      <c r="J122" t="str">
        <f t="shared" si="4"/>
        <v>41-60</v>
      </c>
      <c r="K122" t="str">
        <f t="shared" si="5"/>
        <v>Middle Age</v>
      </c>
      <c r="L122" t="str">
        <f t="shared" si="6"/>
        <v>Low Cost</v>
      </c>
      <c r="M122" t="str">
        <f t="shared" si="7"/>
        <v>Poor</v>
      </c>
    </row>
    <row r="123" spans="1:13" x14ac:dyDescent="0.35">
      <c r="A123" t="s">
        <v>159</v>
      </c>
      <c r="B123" t="s">
        <v>30</v>
      </c>
      <c r="C123" t="s">
        <v>31</v>
      </c>
      <c r="D123" t="s">
        <v>52</v>
      </c>
      <c r="E123" t="s">
        <v>22</v>
      </c>
      <c r="F123">
        <v>86</v>
      </c>
      <c r="G123" s="9">
        <v>1856</v>
      </c>
      <c r="H123" s="10">
        <v>4</v>
      </c>
      <c r="I123" s="10">
        <v>71</v>
      </c>
      <c r="J123" t="str">
        <f t="shared" si="4"/>
        <v>61+</v>
      </c>
      <c r="K123" t="str">
        <f t="shared" si="5"/>
        <v>Elderly</v>
      </c>
      <c r="L123" t="str">
        <f t="shared" si="6"/>
        <v>Low Cost</v>
      </c>
      <c r="M123" t="str">
        <f t="shared" si="7"/>
        <v>Good</v>
      </c>
    </row>
    <row r="124" spans="1:13" x14ac:dyDescent="0.35">
      <c r="A124" t="s">
        <v>160</v>
      </c>
      <c r="B124" t="s">
        <v>30</v>
      </c>
      <c r="C124" t="s">
        <v>28</v>
      </c>
      <c r="D124" t="s">
        <v>32</v>
      </c>
      <c r="E124" t="s">
        <v>18</v>
      </c>
      <c r="F124">
        <v>52</v>
      </c>
      <c r="G124" s="9">
        <v>1866</v>
      </c>
      <c r="H124" s="10">
        <v>3</v>
      </c>
      <c r="I124" s="10">
        <v>52</v>
      </c>
      <c r="J124" t="str">
        <f t="shared" si="4"/>
        <v>41-60</v>
      </c>
      <c r="K124" t="str">
        <f t="shared" si="5"/>
        <v>Middle Age</v>
      </c>
      <c r="L124" t="str">
        <f t="shared" si="6"/>
        <v>Low Cost</v>
      </c>
      <c r="M124" t="str">
        <f t="shared" si="7"/>
        <v>Poor</v>
      </c>
    </row>
    <row r="125" spans="1:13" x14ac:dyDescent="0.35">
      <c r="A125" t="s">
        <v>161</v>
      </c>
      <c r="B125" t="s">
        <v>30</v>
      </c>
      <c r="C125" t="s">
        <v>16</v>
      </c>
      <c r="D125" t="s">
        <v>34</v>
      </c>
      <c r="E125" t="s">
        <v>22</v>
      </c>
      <c r="F125">
        <v>15</v>
      </c>
      <c r="G125" s="9">
        <v>17657</v>
      </c>
      <c r="H125" s="10">
        <v>11</v>
      </c>
      <c r="I125" s="10">
        <v>82</v>
      </c>
      <c r="J125" t="str">
        <f t="shared" si="4"/>
        <v>0-20</v>
      </c>
      <c r="K125" t="str">
        <f t="shared" si="5"/>
        <v>Teenager</v>
      </c>
      <c r="L125" t="str">
        <f t="shared" si="6"/>
        <v>High Cost</v>
      </c>
      <c r="M125" t="str">
        <f t="shared" si="7"/>
        <v>Excellent</v>
      </c>
    </row>
    <row r="126" spans="1:13" x14ac:dyDescent="0.35">
      <c r="A126" t="s">
        <v>162</v>
      </c>
      <c r="B126" t="s">
        <v>54</v>
      </c>
      <c r="C126" t="s">
        <v>16</v>
      </c>
      <c r="D126" t="s">
        <v>25</v>
      </c>
      <c r="E126" t="s">
        <v>22</v>
      </c>
      <c r="F126">
        <v>7</v>
      </c>
      <c r="G126" s="9">
        <v>8073</v>
      </c>
      <c r="H126" s="10">
        <v>13</v>
      </c>
      <c r="I126" s="10">
        <v>73</v>
      </c>
      <c r="J126" t="str">
        <f t="shared" si="4"/>
        <v>0-20</v>
      </c>
      <c r="K126" t="str">
        <f t="shared" si="5"/>
        <v>Child</v>
      </c>
      <c r="L126" t="str">
        <f t="shared" si="6"/>
        <v>High Cost</v>
      </c>
      <c r="M126" t="str">
        <f t="shared" si="7"/>
        <v>Good</v>
      </c>
    </row>
    <row r="127" spans="1:13" x14ac:dyDescent="0.35">
      <c r="A127" t="s">
        <v>163</v>
      </c>
      <c r="B127" t="s">
        <v>24</v>
      </c>
      <c r="C127" t="s">
        <v>28</v>
      </c>
      <c r="D127" t="s">
        <v>39</v>
      </c>
      <c r="E127" t="s">
        <v>18</v>
      </c>
      <c r="F127">
        <v>27</v>
      </c>
      <c r="G127" s="9">
        <v>746</v>
      </c>
      <c r="H127" s="10">
        <v>3</v>
      </c>
      <c r="I127" s="10">
        <v>58</v>
      </c>
      <c r="J127" t="str">
        <f t="shared" si="4"/>
        <v>21-40</v>
      </c>
      <c r="K127" t="str">
        <f t="shared" si="5"/>
        <v>Youth</v>
      </c>
      <c r="L127" t="str">
        <f t="shared" si="6"/>
        <v>Low Cost</v>
      </c>
      <c r="M127" t="str">
        <f t="shared" si="7"/>
        <v>Poor</v>
      </c>
    </row>
    <row r="128" spans="1:13" x14ac:dyDescent="0.35">
      <c r="A128" t="s">
        <v>164</v>
      </c>
      <c r="B128" t="s">
        <v>49</v>
      </c>
      <c r="C128" t="s">
        <v>28</v>
      </c>
      <c r="D128" t="s">
        <v>39</v>
      </c>
      <c r="E128" t="s">
        <v>22</v>
      </c>
      <c r="F128">
        <v>81</v>
      </c>
      <c r="G128" s="9">
        <v>1446</v>
      </c>
      <c r="H128" s="10">
        <v>1</v>
      </c>
      <c r="I128" s="10">
        <v>95</v>
      </c>
      <c r="J128" t="str">
        <f t="shared" si="4"/>
        <v>61+</v>
      </c>
      <c r="K128" t="str">
        <f t="shared" si="5"/>
        <v>Elderly</v>
      </c>
      <c r="L128" t="str">
        <f t="shared" si="6"/>
        <v>Low Cost</v>
      </c>
      <c r="M128" t="str">
        <f t="shared" si="7"/>
        <v>Excellent</v>
      </c>
    </row>
    <row r="129" spans="1:13" x14ac:dyDescent="0.35">
      <c r="A129" t="s">
        <v>165</v>
      </c>
      <c r="B129" t="s">
        <v>27</v>
      </c>
      <c r="C129" t="s">
        <v>31</v>
      </c>
      <c r="D129" t="s">
        <v>25</v>
      </c>
      <c r="E129" t="s">
        <v>22</v>
      </c>
      <c r="F129">
        <v>53</v>
      </c>
      <c r="G129" s="9">
        <v>1763</v>
      </c>
      <c r="H129" s="10">
        <v>5</v>
      </c>
      <c r="I129" s="10">
        <v>57</v>
      </c>
      <c r="J129" t="str">
        <f t="shared" si="4"/>
        <v>41-60</v>
      </c>
      <c r="K129" t="str">
        <f t="shared" si="5"/>
        <v>Middle Age</v>
      </c>
      <c r="L129" t="str">
        <f t="shared" si="6"/>
        <v>Low Cost</v>
      </c>
      <c r="M129" t="str">
        <f t="shared" si="7"/>
        <v>Poor</v>
      </c>
    </row>
    <row r="130" spans="1:13" x14ac:dyDescent="0.35">
      <c r="A130" t="s">
        <v>166</v>
      </c>
      <c r="B130" t="s">
        <v>30</v>
      </c>
      <c r="C130" t="s">
        <v>16</v>
      </c>
      <c r="D130" t="s">
        <v>47</v>
      </c>
      <c r="E130" t="s">
        <v>18</v>
      </c>
      <c r="F130">
        <v>38</v>
      </c>
      <c r="G130" s="9">
        <v>13337</v>
      </c>
      <c r="H130" s="10">
        <v>9</v>
      </c>
      <c r="I130" s="10">
        <v>76</v>
      </c>
      <c r="J130" t="str">
        <f t="shared" ref="J130:J193" si="8">IF(F130&lt;=20,"0-20",IF(F130&lt;=40,"21-40",IF(F130&lt;=60,"41-60","61+")))</f>
        <v>21-40</v>
      </c>
      <c r="K130" t="str">
        <f t="shared" ref="K130:K193" si="9">IF(F130&lt;=5,"Infant",IF(F130&lt;=12,"Child",IF(F130&lt;=19,"Teenager",IF(F130&lt;=29,"Youth",IF(F130&lt;=44,"Adult",IF(F130&lt;=60,"Middle Age",IF(F130&gt;60,"Elderly")))))))</f>
        <v>Adult</v>
      </c>
      <c r="L130" t="str">
        <f t="shared" ref="L130:L193" si="10">IF(G130&gt;=7500,"High Cost","Low Cost")</f>
        <v>High Cost</v>
      </c>
      <c r="M130" t="str">
        <f t="shared" ref="M130:M193" si="11">IF(I130&gt;=80,"Excellent",IF(I130&gt;=60,"Good","Poor"))</f>
        <v>Good</v>
      </c>
    </row>
    <row r="131" spans="1:13" x14ac:dyDescent="0.35">
      <c r="A131" t="s">
        <v>167</v>
      </c>
      <c r="B131" t="s">
        <v>54</v>
      </c>
      <c r="C131" t="s">
        <v>28</v>
      </c>
      <c r="D131" t="s">
        <v>39</v>
      </c>
      <c r="E131" t="s">
        <v>22</v>
      </c>
      <c r="F131">
        <v>71</v>
      </c>
      <c r="G131" s="9">
        <v>496</v>
      </c>
      <c r="H131" s="10">
        <v>2</v>
      </c>
      <c r="I131" s="10">
        <v>62</v>
      </c>
      <c r="J131" t="str">
        <f t="shared" si="8"/>
        <v>61+</v>
      </c>
      <c r="K131" t="str">
        <f t="shared" si="9"/>
        <v>Elderly</v>
      </c>
      <c r="L131" t="str">
        <f t="shared" si="10"/>
        <v>Low Cost</v>
      </c>
      <c r="M131" t="str">
        <f t="shared" si="11"/>
        <v>Good</v>
      </c>
    </row>
    <row r="132" spans="1:13" x14ac:dyDescent="0.35">
      <c r="A132" t="s">
        <v>168</v>
      </c>
      <c r="B132" t="s">
        <v>24</v>
      </c>
      <c r="C132" t="s">
        <v>45</v>
      </c>
      <c r="D132" t="s">
        <v>36</v>
      </c>
      <c r="E132" t="s">
        <v>22</v>
      </c>
      <c r="F132">
        <v>54</v>
      </c>
      <c r="G132" s="9">
        <v>3284</v>
      </c>
      <c r="H132" s="10">
        <v>5</v>
      </c>
      <c r="I132" s="10">
        <v>67</v>
      </c>
      <c r="J132" t="str">
        <f t="shared" si="8"/>
        <v>41-60</v>
      </c>
      <c r="K132" t="str">
        <f t="shared" si="9"/>
        <v>Middle Age</v>
      </c>
      <c r="L132" t="str">
        <f t="shared" si="10"/>
        <v>Low Cost</v>
      </c>
      <c r="M132" t="str">
        <f t="shared" si="11"/>
        <v>Good</v>
      </c>
    </row>
    <row r="133" spans="1:13" x14ac:dyDescent="0.35">
      <c r="A133" t="s">
        <v>169</v>
      </c>
      <c r="B133" t="s">
        <v>54</v>
      </c>
      <c r="C133" t="s">
        <v>16</v>
      </c>
      <c r="D133" t="s">
        <v>32</v>
      </c>
      <c r="E133" t="s">
        <v>18</v>
      </c>
      <c r="F133">
        <v>76</v>
      </c>
      <c r="G133" s="9">
        <v>14501</v>
      </c>
      <c r="H133" s="10">
        <v>15</v>
      </c>
      <c r="I133" s="10">
        <v>81</v>
      </c>
      <c r="J133" t="str">
        <f t="shared" si="8"/>
        <v>61+</v>
      </c>
      <c r="K133" t="str">
        <f t="shared" si="9"/>
        <v>Elderly</v>
      </c>
      <c r="L133" t="str">
        <f t="shared" si="10"/>
        <v>High Cost</v>
      </c>
      <c r="M133" t="str">
        <f t="shared" si="11"/>
        <v>Excellent</v>
      </c>
    </row>
    <row r="134" spans="1:13" x14ac:dyDescent="0.35">
      <c r="A134" t="s">
        <v>170</v>
      </c>
      <c r="B134" t="s">
        <v>54</v>
      </c>
      <c r="C134" t="s">
        <v>45</v>
      </c>
      <c r="D134" t="s">
        <v>39</v>
      </c>
      <c r="E134" t="s">
        <v>18</v>
      </c>
      <c r="F134">
        <v>45</v>
      </c>
      <c r="G134" s="9">
        <v>3223</v>
      </c>
      <c r="H134" s="10">
        <v>5</v>
      </c>
      <c r="I134" s="10">
        <v>98</v>
      </c>
      <c r="J134" t="str">
        <f t="shared" si="8"/>
        <v>41-60</v>
      </c>
      <c r="K134" t="str">
        <f t="shared" si="9"/>
        <v>Middle Age</v>
      </c>
      <c r="L134" t="str">
        <f t="shared" si="10"/>
        <v>Low Cost</v>
      </c>
      <c r="M134" t="str">
        <f t="shared" si="11"/>
        <v>Excellent</v>
      </c>
    </row>
    <row r="135" spans="1:13" x14ac:dyDescent="0.35">
      <c r="A135" t="s">
        <v>171</v>
      </c>
      <c r="B135" t="s">
        <v>24</v>
      </c>
      <c r="C135" t="s">
        <v>28</v>
      </c>
      <c r="D135" t="s">
        <v>39</v>
      </c>
      <c r="E135" t="s">
        <v>18</v>
      </c>
      <c r="F135">
        <v>25</v>
      </c>
      <c r="G135" s="9">
        <v>1628</v>
      </c>
      <c r="H135" s="10">
        <v>1</v>
      </c>
      <c r="I135" s="10">
        <v>86</v>
      </c>
      <c r="J135" t="str">
        <f t="shared" si="8"/>
        <v>21-40</v>
      </c>
      <c r="K135" t="str">
        <f t="shared" si="9"/>
        <v>Youth</v>
      </c>
      <c r="L135" t="str">
        <f t="shared" si="10"/>
        <v>Low Cost</v>
      </c>
      <c r="M135" t="str">
        <f t="shared" si="11"/>
        <v>Excellent</v>
      </c>
    </row>
    <row r="136" spans="1:13" x14ac:dyDescent="0.35">
      <c r="A136" t="s">
        <v>172</v>
      </c>
      <c r="B136" t="s">
        <v>30</v>
      </c>
      <c r="C136" t="s">
        <v>45</v>
      </c>
      <c r="D136" t="s">
        <v>52</v>
      </c>
      <c r="E136" t="s">
        <v>22</v>
      </c>
      <c r="F136">
        <v>61</v>
      </c>
      <c r="G136" s="9">
        <v>3623</v>
      </c>
      <c r="H136" s="10">
        <v>4</v>
      </c>
      <c r="I136" s="10">
        <v>92</v>
      </c>
      <c r="J136" t="str">
        <f t="shared" si="8"/>
        <v>61+</v>
      </c>
      <c r="K136" t="str">
        <f t="shared" si="9"/>
        <v>Elderly</v>
      </c>
      <c r="L136" t="str">
        <f t="shared" si="10"/>
        <v>Low Cost</v>
      </c>
      <c r="M136" t="str">
        <f t="shared" si="11"/>
        <v>Excellent</v>
      </c>
    </row>
    <row r="137" spans="1:13" x14ac:dyDescent="0.35">
      <c r="A137" t="s">
        <v>173</v>
      </c>
      <c r="B137" t="s">
        <v>54</v>
      </c>
      <c r="C137" t="s">
        <v>45</v>
      </c>
      <c r="D137" t="s">
        <v>39</v>
      </c>
      <c r="E137" t="s">
        <v>18</v>
      </c>
      <c r="F137">
        <v>17</v>
      </c>
      <c r="G137" s="9">
        <v>4614</v>
      </c>
      <c r="H137" s="10">
        <v>5</v>
      </c>
      <c r="I137" s="10">
        <v>71</v>
      </c>
      <c r="J137" t="str">
        <f t="shared" si="8"/>
        <v>0-20</v>
      </c>
      <c r="K137" t="str">
        <f t="shared" si="9"/>
        <v>Teenager</v>
      </c>
      <c r="L137" t="str">
        <f t="shared" si="10"/>
        <v>Low Cost</v>
      </c>
      <c r="M137" t="str">
        <f t="shared" si="11"/>
        <v>Good</v>
      </c>
    </row>
    <row r="138" spans="1:13" x14ac:dyDescent="0.35">
      <c r="A138" t="s">
        <v>174</v>
      </c>
      <c r="B138" t="s">
        <v>54</v>
      </c>
      <c r="C138" t="s">
        <v>16</v>
      </c>
      <c r="D138" t="s">
        <v>39</v>
      </c>
      <c r="E138" t="s">
        <v>22</v>
      </c>
      <c r="F138">
        <v>59</v>
      </c>
      <c r="G138" s="9">
        <v>5251</v>
      </c>
      <c r="H138" s="10">
        <v>7</v>
      </c>
      <c r="I138" s="10">
        <v>76</v>
      </c>
      <c r="J138" t="str">
        <f t="shared" si="8"/>
        <v>41-60</v>
      </c>
      <c r="K138" t="str">
        <f t="shared" si="9"/>
        <v>Middle Age</v>
      </c>
      <c r="L138" t="str">
        <f t="shared" si="10"/>
        <v>Low Cost</v>
      </c>
      <c r="M138" t="str">
        <f t="shared" si="11"/>
        <v>Good</v>
      </c>
    </row>
    <row r="139" spans="1:13" x14ac:dyDescent="0.35">
      <c r="A139" t="s">
        <v>175</v>
      </c>
      <c r="B139" t="s">
        <v>54</v>
      </c>
      <c r="C139" t="s">
        <v>45</v>
      </c>
      <c r="D139" t="s">
        <v>36</v>
      </c>
      <c r="E139" t="s">
        <v>22</v>
      </c>
      <c r="F139">
        <v>34</v>
      </c>
      <c r="G139" s="9">
        <v>3273</v>
      </c>
      <c r="H139" s="10">
        <v>5</v>
      </c>
      <c r="I139" s="10">
        <v>94</v>
      </c>
      <c r="J139" t="str">
        <f t="shared" si="8"/>
        <v>21-40</v>
      </c>
      <c r="K139" t="str">
        <f t="shared" si="9"/>
        <v>Adult</v>
      </c>
      <c r="L139" t="str">
        <f t="shared" si="10"/>
        <v>Low Cost</v>
      </c>
      <c r="M139" t="str">
        <f t="shared" si="11"/>
        <v>Excellent</v>
      </c>
    </row>
    <row r="140" spans="1:13" x14ac:dyDescent="0.35">
      <c r="A140" t="s">
        <v>176</v>
      </c>
      <c r="B140" t="s">
        <v>30</v>
      </c>
      <c r="C140" t="s">
        <v>16</v>
      </c>
      <c r="D140" t="s">
        <v>34</v>
      </c>
      <c r="E140" t="s">
        <v>18</v>
      </c>
      <c r="F140">
        <v>69</v>
      </c>
      <c r="G140" s="9">
        <v>11226</v>
      </c>
      <c r="H140" s="10">
        <v>10</v>
      </c>
      <c r="I140" s="10">
        <v>90</v>
      </c>
      <c r="J140" t="str">
        <f t="shared" si="8"/>
        <v>61+</v>
      </c>
      <c r="K140" t="str">
        <f t="shared" si="9"/>
        <v>Elderly</v>
      </c>
      <c r="L140" t="str">
        <f t="shared" si="10"/>
        <v>High Cost</v>
      </c>
      <c r="M140" t="str">
        <f t="shared" si="11"/>
        <v>Excellent</v>
      </c>
    </row>
    <row r="141" spans="1:13" x14ac:dyDescent="0.35">
      <c r="A141" t="s">
        <v>177</v>
      </c>
      <c r="B141" t="s">
        <v>15</v>
      </c>
      <c r="C141" t="s">
        <v>28</v>
      </c>
      <c r="D141" t="s">
        <v>25</v>
      </c>
      <c r="E141" t="s">
        <v>22</v>
      </c>
      <c r="F141">
        <v>9</v>
      </c>
      <c r="G141" s="9">
        <v>680</v>
      </c>
      <c r="H141" s="10">
        <v>3</v>
      </c>
      <c r="I141" s="10">
        <v>93</v>
      </c>
      <c r="J141" t="str">
        <f t="shared" si="8"/>
        <v>0-20</v>
      </c>
      <c r="K141" t="str">
        <f t="shared" si="9"/>
        <v>Child</v>
      </c>
      <c r="L141" t="str">
        <f t="shared" si="10"/>
        <v>Low Cost</v>
      </c>
      <c r="M141" t="str">
        <f t="shared" si="11"/>
        <v>Excellent</v>
      </c>
    </row>
    <row r="142" spans="1:13" x14ac:dyDescent="0.35">
      <c r="A142" t="s">
        <v>178</v>
      </c>
      <c r="B142" t="s">
        <v>49</v>
      </c>
      <c r="C142" t="s">
        <v>45</v>
      </c>
      <c r="D142" t="s">
        <v>36</v>
      </c>
      <c r="E142" t="s">
        <v>22</v>
      </c>
      <c r="F142">
        <v>13</v>
      </c>
      <c r="G142" s="9">
        <v>1323</v>
      </c>
      <c r="H142" s="10">
        <v>4</v>
      </c>
      <c r="I142" s="10">
        <v>60</v>
      </c>
      <c r="J142" t="str">
        <f t="shared" si="8"/>
        <v>0-20</v>
      </c>
      <c r="K142" t="str">
        <f t="shared" si="9"/>
        <v>Teenager</v>
      </c>
      <c r="L142" t="str">
        <f t="shared" si="10"/>
        <v>Low Cost</v>
      </c>
      <c r="M142" t="str">
        <f t="shared" si="11"/>
        <v>Good</v>
      </c>
    </row>
    <row r="143" spans="1:13" x14ac:dyDescent="0.35">
      <c r="A143" t="s">
        <v>179</v>
      </c>
      <c r="B143" t="s">
        <v>15</v>
      </c>
      <c r="C143" t="s">
        <v>31</v>
      </c>
      <c r="D143" t="s">
        <v>17</v>
      </c>
      <c r="E143" t="s">
        <v>22</v>
      </c>
      <c r="F143">
        <v>8</v>
      </c>
      <c r="G143" s="9">
        <v>3403</v>
      </c>
      <c r="H143" s="10">
        <v>7</v>
      </c>
      <c r="I143" s="10">
        <v>73</v>
      </c>
      <c r="J143" t="str">
        <f t="shared" si="8"/>
        <v>0-20</v>
      </c>
      <c r="K143" t="str">
        <f t="shared" si="9"/>
        <v>Child</v>
      </c>
      <c r="L143" t="str">
        <f t="shared" si="10"/>
        <v>Low Cost</v>
      </c>
      <c r="M143" t="str">
        <f t="shared" si="11"/>
        <v>Good</v>
      </c>
    </row>
    <row r="144" spans="1:13" x14ac:dyDescent="0.35">
      <c r="A144" t="s">
        <v>180</v>
      </c>
      <c r="B144" t="s">
        <v>30</v>
      </c>
      <c r="C144" t="s">
        <v>45</v>
      </c>
      <c r="D144" t="s">
        <v>65</v>
      </c>
      <c r="E144" t="s">
        <v>18</v>
      </c>
      <c r="F144">
        <v>73</v>
      </c>
      <c r="G144" s="9">
        <v>1975</v>
      </c>
      <c r="H144" s="10">
        <v>2</v>
      </c>
      <c r="I144" s="10">
        <v>61</v>
      </c>
      <c r="J144" t="str">
        <f t="shared" si="8"/>
        <v>61+</v>
      </c>
      <c r="K144" t="str">
        <f t="shared" si="9"/>
        <v>Elderly</v>
      </c>
      <c r="L144" t="str">
        <f t="shared" si="10"/>
        <v>Low Cost</v>
      </c>
      <c r="M144" t="str">
        <f t="shared" si="11"/>
        <v>Good</v>
      </c>
    </row>
    <row r="145" spans="1:13" x14ac:dyDescent="0.35">
      <c r="A145" t="s">
        <v>181</v>
      </c>
      <c r="B145" t="s">
        <v>20</v>
      </c>
      <c r="C145" t="s">
        <v>28</v>
      </c>
      <c r="D145" t="s">
        <v>21</v>
      </c>
      <c r="E145" t="s">
        <v>18</v>
      </c>
      <c r="F145">
        <v>64</v>
      </c>
      <c r="G145" s="9">
        <v>1394</v>
      </c>
      <c r="H145" s="10">
        <v>1</v>
      </c>
      <c r="I145" s="10">
        <v>64</v>
      </c>
      <c r="J145" t="str">
        <f t="shared" si="8"/>
        <v>61+</v>
      </c>
      <c r="K145" t="str">
        <f t="shared" si="9"/>
        <v>Elderly</v>
      </c>
      <c r="L145" t="str">
        <f t="shared" si="10"/>
        <v>Low Cost</v>
      </c>
      <c r="M145" t="str">
        <f t="shared" si="11"/>
        <v>Good</v>
      </c>
    </row>
    <row r="146" spans="1:13" x14ac:dyDescent="0.35">
      <c r="A146" t="s">
        <v>182</v>
      </c>
      <c r="B146" t="s">
        <v>30</v>
      </c>
      <c r="C146" t="s">
        <v>31</v>
      </c>
      <c r="D146" t="s">
        <v>39</v>
      </c>
      <c r="E146" t="s">
        <v>22</v>
      </c>
      <c r="F146">
        <v>2</v>
      </c>
      <c r="G146" s="9">
        <v>4811</v>
      </c>
      <c r="H146" s="10">
        <v>6</v>
      </c>
      <c r="I146" s="10">
        <v>93</v>
      </c>
      <c r="J146" t="str">
        <f t="shared" si="8"/>
        <v>0-20</v>
      </c>
      <c r="K146" t="str">
        <f t="shared" si="9"/>
        <v>Infant</v>
      </c>
      <c r="L146" t="str">
        <f t="shared" si="10"/>
        <v>Low Cost</v>
      </c>
      <c r="M146" t="str">
        <f t="shared" si="11"/>
        <v>Excellent</v>
      </c>
    </row>
    <row r="147" spans="1:13" x14ac:dyDescent="0.35">
      <c r="A147" t="s">
        <v>183</v>
      </c>
      <c r="B147" t="s">
        <v>24</v>
      </c>
      <c r="C147" t="s">
        <v>45</v>
      </c>
      <c r="D147" t="s">
        <v>36</v>
      </c>
      <c r="E147" t="s">
        <v>22</v>
      </c>
      <c r="F147">
        <v>45</v>
      </c>
      <c r="G147" s="9">
        <v>2950</v>
      </c>
      <c r="H147" s="10">
        <v>4</v>
      </c>
      <c r="I147" s="10">
        <v>94</v>
      </c>
      <c r="J147" t="str">
        <f t="shared" si="8"/>
        <v>41-60</v>
      </c>
      <c r="K147" t="str">
        <f t="shared" si="9"/>
        <v>Middle Age</v>
      </c>
      <c r="L147" t="str">
        <f t="shared" si="10"/>
        <v>Low Cost</v>
      </c>
      <c r="M147" t="str">
        <f t="shared" si="11"/>
        <v>Excellent</v>
      </c>
    </row>
    <row r="148" spans="1:13" x14ac:dyDescent="0.35">
      <c r="A148" t="s">
        <v>184</v>
      </c>
      <c r="B148" t="s">
        <v>49</v>
      </c>
      <c r="C148" t="s">
        <v>28</v>
      </c>
      <c r="D148" t="s">
        <v>32</v>
      </c>
      <c r="E148" t="s">
        <v>22</v>
      </c>
      <c r="F148">
        <v>50</v>
      </c>
      <c r="G148" s="9">
        <v>1947</v>
      </c>
      <c r="H148" s="10">
        <v>2</v>
      </c>
      <c r="I148" s="10">
        <v>56</v>
      </c>
      <c r="J148" t="str">
        <f t="shared" si="8"/>
        <v>41-60</v>
      </c>
      <c r="K148" t="str">
        <f t="shared" si="9"/>
        <v>Middle Age</v>
      </c>
      <c r="L148" t="str">
        <f t="shared" si="10"/>
        <v>Low Cost</v>
      </c>
      <c r="M148" t="str">
        <f t="shared" si="11"/>
        <v>Poor</v>
      </c>
    </row>
    <row r="149" spans="1:13" x14ac:dyDescent="0.35">
      <c r="A149" t="s">
        <v>185</v>
      </c>
      <c r="B149" t="s">
        <v>27</v>
      </c>
      <c r="C149" t="s">
        <v>28</v>
      </c>
      <c r="D149" t="s">
        <v>21</v>
      </c>
      <c r="E149" t="s">
        <v>22</v>
      </c>
      <c r="F149">
        <v>38</v>
      </c>
      <c r="G149" s="9">
        <v>1632</v>
      </c>
      <c r="H149" s="10">
        <v>2</v>
      </c>
      <c r="I149" s="10">
        <v>51</v>
      </c>
      <c r="J149" t="str">
        <f t="shared" si="8"/>
        <v>21-40</v>
      </c>
      <c r="K149" t="str">
        <f t="shared" si="9"/>
        <v>Adult</v>
      </c>
      <c r="L149" t="str">
        <f t="shared" si="10"/>
        <v>Low Cost</v>
      </c>
      <c r="M149" t="str">
        <f t="shared" si="11"/>
        <v>Poor</v>
      </c>
    </row>
    <row r="150" spans="1:13" x14ac:dyDescent="0.35">
      <c r="A150" t="s">
        <v>186</v>
      </c>
      <c r="B150" t="s">
        <v>54</v>
      </c>
      <c r="C150" t="s">
        <v>28</v>
      </c>
      <c r="D150" t="s">
        <v>32</v>
      </c>
      <c r="E150" t="s">
        <v>22</v>
      </c>
      <c r="F150">
        <v>88</v>
      </c>
      <c r="G150" s="9">
        <v>1793</v>
      </c>
      <c r="H150" s="10">
        <v>3</v>
      </c>
      <c r="I150" s="10">
        <v>53</v>
      </c>
      <c r="J150" t="str">
        <f t="shared" si="8"/>
        <v>61+</v>
      </c>
      <c r="K150" t="str">
        <f t="shared" si="9"/>
        <v>Elderly</v>
      </c>
      <c r="L150" t="str">
        <f t="shared" si="10"/>
        <v>Low Cost</v>
      </c>
      <c r="M150" t="str">
        <f t="shared" si="11"/>
        <v>Poor</v>
      </c>
    </row>
    <row r="151" spans="1:13" x14ac:dyDescent="0.35">
      <c r="A151" t="s">
        <v>187</v>
      </c>
      <c r="B151" t="s">
        <v>24</v>
      </c>
      <c r="C151" t="s">
        <v>28</v>
      </c>
      <c r="D151" t="s">
        <v>32</v>
      </c>
      <c r="E151" t="s">
        <v>18</v>
      </c>
      <c r="F151">
        <v>30</v>
      </c>
      <c r="G151" s="9">
        <v>1443</v>
      </c>
      <c r="H151" s="10">
        <v>2</v>
      </c>
      <c r="I151" s="10">
        <v>64</v>
      </c>
      <c r="J151" t="str">
        <f t="shared" si="8"/>
        <v>21-40</v>
      </c>
      <c r="K151" t="str">
        <f t="shared" si="9"/>
        <v>Adult</v>
      </c>
      <c r="L151" t="str">
        <f t="shared" si="10"/>
        <v>Low Cost</v>
      </c>
      <c r="M151" t="str">
        <f t="shared" si="11"/>
        <v>Good</v>
      </c>
    </row>
    <row r="152" spans="1:13" x14ac:dyDescent="0.35">
      <c r="A152" t="s">
        <v>188</v>
      </c>
      <c r="B152" t="s">
        <v>15</v>
      </c>
      <c r="C152" t="s">
        <v>45</v>
      </c>
      <c r="D152" t="s">
        <v>21</v>
      </c>
      <c r="E152" t="s">
        <v>22</v>
      </c>
      <c r="F152">
        <v>85</v>
      </c>
      <c r="G152" s="9">
        <v>1620</v>
      </c>
      <c r="H152" s="10">
        <v>1</v>
      </c>
      <c r="I152" s="10">
        <v>90</v>
      </c>
      <c r="J152" t="str">
        <f t="shared" si="8"/>
        <v>61+</v>
      </c>
      <c r="K152" t="str">
        <f t="shared" si="9"/>
        <v>Elderly</v>
      </c>
      <c r="L152" t="str">
        <f t="shared" si="10"/>
        <v>Low Cost</v>
      </c>
      <c r="M152" t="str">
        <f t="shared" si="11"/>
        <v>Excellent</v>
      </c>
    </row>
    <row r="153" spans="1:13" x14ac:dyDescent="0.35">
      <c r="A153" t="s">
        <v>189</v>
      </c>
      <c r="B153" t="s">
        <v>15</v>
      </c>
      <c r="C153" t="s">
        <v>16</v>
      </c>
      <c r="D153" t="s">
        <v>32</v>
      </c>
      <c r="E153" t="s">
        <v>18</v>
      </c>
      <c r="F153">
        <v>5</v>
      </c>
      <c r="G153" s="9">
        <v>14495</v>
      </c>
      <c r="H153" s="10">
        <v>10</v>
      </c>
      <c r="I153" s="10">
        <v>96</v>
      </c>
      <c r="J153" t="str">
        <f t="shared" si="8"/>
        <v>0-20</v>
      </c>
      <c r="K153" t="str">
        <f t="shared" si="9"/>
        <v>Infant</v>
      </c>
      <c r="L153" t="str">
        <f t="shared" si="10"/>
        <v>High Cost</v>
      </c>
      <c r="M153" t="str">
        <f t="shared" si="11"/>
        <v>Excellent</v>
      </c>
    </row>
    <row r="154" spans="1:13" x14ac:dyDescent="0.35">
      <c r="A154" t="s">
        <v>190</v>
      </c>
      <c r="B154" t="s">
        <v>27</v>
      </c>
      <c r="C154" t="s">
        <v>16</v>
      </c>
      <c r="D154" t="s">
        <v>32</v>
      </c>
      <c r="E154" t="s">
        <v>22</v>
      </c>
      <c r="F154">
        <v>54</v>
      </c>
      <c r="G154" s="9">
        <v>7877</v>
      </c>
      <c r="H154" s="10">
        <v>8</v>
      </c>
      <c r="I154" s="10">
        <v>58</v>
      </c>
      <c r="J154" t="str">
        <f t="shared" si="8"/>
        <v>41-60</v>
      </c>
      <c r="K154" t="str">
        <f t="shared" si="9"/>
        <v>Middle Age</v>
      </c>
      <c r="L154" t="str">
        <f t="shared" si="10"/>
        <v>High Cost</v>
      </c>
      <c r="M154" t="str">
        <f t="shared" si="11"/>
        <v>Poor</v>
      </c>
    </row>
    <row r="155" spans="1:13" x14ac:dyDescent="0.35">
      <c r="A155" t="s">
        <v>191</v>
      </c>
      <c r="B155" t="s">
        <v>54</v>
      </c>
      <c r="C155" t="s">
        <v>31</v>
      </c>
      <c r="D155" t="s">
        <v>25</v>
      </c>
      <c r="E155" t="s">
        <v>18</v>
      </c>
      <c r="F155">
        <v>35</v>
      </c>
      <c r="G155" s="9">
        <v>2347</v>
      </c>
      <c r="H155" s="10">
        <v>6</v>
      </c>
      <c r="I155" s="10">
        <v>80</v>
      </c>
      <c r="J155" t="str">
        <f t="shared" si="8"/>
        <v>21-40</v>
      </c>
      <c r="K155" t="str">
        <f t="shared" si="9"/>
        <v>Adult</v>
      </c>
      <c r="L155" t="str">
        <f t="shared" si="10"/>
        <v>Low Cost</v>
      </c>
      <c r="M155" t="str">
        <f t="shared" si="11"/>
        <v>Excellent</v>
      </c>
    </row>
    <row r="156" spans="1:13" x14ac:dyDescent="0.35">
      <c r="A156" t="s">
        <v>192</v>
      </c>
      <c r="B156" t="s">
        <v>54</v>
      </c>
      <c r="C156" t="s">
        <v>31</v>
      </c>
      <c r="D156" t="s">
        <v>34</v>
      </c>
      <c r="E156" t="s">
        <v>18</v>
      </c>
      <c r="F156">
        <v>60</v>
      </c>
      <c r="G156" s="9">
        <v>1616</v>
      </c>
      <c r="H156" s="10">
        <v>4</v>
      </c>
      <c r="I156" s="10">
        <v>98</v>
      </c>
      <c r="J156" t="str">
        <f t="shared" si="8"/>
        <v>41-60</v>
      </c>
      <c r="K156" t="str">
        <f t="shared" si="9"/>
        <v>Middle Age</v>
      </c>
      <c r="L156" t="str">
        <f t="shared" si="10"/>
        <v>Low Cost</v>
      </c>
      <c r="M156" t="str">
        <f t="shared" si="11"/>
        <v>Excellent</v>
      </c>
    </row>
    <row r="157" spans="1:13" x14ac:dyDescent="0.35">
      <c r="A157" t="s">
        <v>193</v>
      </c>
      <c r="B157" t="s">
        <v>27</v>
      </c>
      <c r="C157" t="s">
        <v>28</v>
      </c>
      <c r="D157" t="s">
        <v>25</v>
      </c>
      <c r="E157" t="s">
        <v>22</v>
      </c>
      <c r="F157">
        <v>51</v>
      </c>
      <c r="G157" s="9">
        <v>228</v>
      </c>
      <c r="H157" s="10">
        <v>2</v>
      </c>
      <c r="I157" s="10">
        <v>84</v>
      </c>
      <c r="J157" t="str">
        <f t="shared" si="8"/>
        <v>41-60</v>
      </c>
      <c r="K157" t="str">
        <f t="shared" si="9"/>
        <v>Middle Age</v>
      </c>
      <c r="L157" t="str">
        <f t="shared" si="10"/>
        <v>Low Cost</v>
      </c>
      <c r="M157" t="str">
        <f t="shared" si="11"/>
        <v>Excellent</v>
      </c>
    </row>
    <row r="158" spans="1:13" x14ac:dyDescent="0.35">
      <c r="A158" t="s">
        <v>194</v>
      </c>
      <c r="B158" t="s">
        <v>20</v>
      </c>
      <c r="C158" t="s">
        <v>28</v>
      </c>
      <c r="D158" t="s">
        <v>34</v>
      </c>
      <c r="E158" t="s">
        <v>18</v>
      </c>
      <c r="F158">
        <v>87</v>
      </c>
      <c r="G158" s="9">
        <v>736</v>
      </c>
      <c r="H158" s="10">
        <v>3</v>
      </c>
      <c r="I158" s="10">
        <v>74</v>
      </c>
      <c r="J158" t="str">
        <f t="shared" si="8"/>
        <v>61+</v>
      </c>
      <c r="K158" t="str">
        <f t="shared" si="9"/>
        <v>Elderly</v>
      </c>
      <c r="L158" t="str">
        <f t="shared" si="10"/>
        <v>Low Cost</v>
      </c>
      <c r="M158" t="str">
        <f t="shared" si="11"/>
        <v>Good</v>
      </c>
    </row>
    <row r="159" spans="1:13" x14ac:dyDescent="0.35">
      <c r="A159" t="s">
        <v>195</v>
      </c>
      <c r="B159" t="s">
        <v>54</v>
      </c>
      <c r="C159" t="s">
        <v>31</v>
      </c>
      <c r="D159" t="s">
        <v>36</v>
      </c>
      <c r="E159" t="s">
        <v>18</v>
      </c>
      <c r="F159">
        <v>61</v>
      </c>
      <c r="G159" s="9">
        <v>1205</v>
      </c>
      <c r="H159" s="10">
        <v>10</v>
      </c>
      <c r="I159" s="10">
        <v>70</v>
      </c>
      <c r="J159" t="str">
        <f t="shared" si="8"/>
        <v>61+</v>
      </c>
      <c r="K159" t="str">
        <f t="shared" si="9"/>
        <v>Elderly</v>
      </c>
      <c r="L159" t="str">
        <f t="shared" si="10"/>
        <v>Low Cost</v>
      </c>
      <c r="M159" t="str">
        <f t="shared" si="11"/>
        <v>Good</v>
      </c>
    </row>
    <row r="160" spans="1:13" x14ac:dyDescent="0.35">
      <c r="A160" t="s">
        <v>196</v>
      </c>
      <c r="B160" t="s">
        <v>24</v>
      </c>
      <c r="C160" t="s">
        <v>45</v>
      </c>
      <c r="D160" t="s">
        <v>36</v>
      </c>
      <c r="E160" t="s">
        <v>18</v>
      </c>
      <c r="F160">
        <v>60</v>
      </c>
      <c r="G160" s="9">
        <v>2975</v>
      </c>
      <c r="H160" s="10">
        <v>4</v>
      </c>
      <c r="I160" s="10">
        <v>57</v>
      </c>
      <c r="J160" t="str">
        <f t="shared" si="8"/>
        <v>41-60</v>
      </c>
      <c r="K160" t="str">
        <f t="shared" si="9"/>
        <v>Middle Age</v>
      </c>
      <c r="L160" t="str">
        <f t="shared" si="10"/>
        <v>Low Cost</v>
      </c>
      <c r="M160" t="str">
        <f t="shared" si="11"/>
        <v>Poor</v>
      </c>
    </row>
    <row r="161" spans="1:13" x14ac:dyDescent="0.35">
      <c r="A161" t="s">
        <v>197</v>
      </c>
      <c r="B161" t="s">
        <v>27</v>
      </c>
      <c r="C161" t="s">
        <v>16</v>
      </c>
      <c r="D161" t="s">
        <v>17</v>
      </c>
      <c r="E161" t="s">
        <v>22</v>
      </c>
      <c r="F161">
        <v>64</v>
      </c>
      <c r="G161" s="9">
        <v>6902</v>
      </c>
      <c r="H161" s="10">
        <v>6</v>
      </c>
      <c r="I161" s="10">
        <v>65</v>
      </c>
      <c r="J161" t="str">
        <f t="shared" si="8"/>
        <v>61+</v>
      </c>
      <c r="K161" t="str">
        <f t="shared" si="9"/>
        <v>Elderly</v>
      </c>
      <c r="L161" t="str">
        <f t="shared" si="10"/>
        <v>Low Cost</v>
      </c>
      <c r="M161" t="str">
        <f t="shared" si="11"/>
        <v>Good</v>
      </c>
    </row>
    <row r="162" spans="1:13" x14ac:dyDescent="0.35">
      <c r="A162" t="s">
        <v>198</v>
      </c>
      <c r="B162" t="s">
        <v>24</v>
      </c>
      <c r="C162" t="s">
        <v>45</v>
      </c>
      <c r="D162" t="s">
        <v>52</v>
      </c>
      <c r="E162" t="s">
        <v>22</v>
      </c>
      <c r="F162">
        <v>86</v>
      </c>
      <c r="G162" s="9">
        <v>4925</v>
      </c>
      <c r="H162" s="10">
        <v>4</v>
      </c>
      <c r="I162" s="10">
        <v>87</v>
      </c>
      <c r="J162" t="str">
        <f t="shared" si="8"/>
        <v>61+</v>
      </c>
      <c r="K162" t="str">
        <f t="shared" si="9"/>
        <v>Elderly</v>
      </c>
      <c r="L162" t="str">
        <f t="shared" si="10"/>
        <v>Low Cost</v>
      </c>
      <c r="M162" t="str">
        <f t="shared" si="11"/>
        <v>Excellent</v>
      </c>
    </row>
    <row r="163" spans="1:13" x14ac:dyDescent="0.35">
      <c r="A163" t="s">
        <v>199</v>
      </c>
      <c r="B163" t="s">
        <v>15</v>
      </c>
      <c r="C163" t="s">
        <v>45</v>
      </c>
      <c r="D163" t="s">
        <v>52</v>
      </c>
      <c r="E163" t="s">
        <v>18</v>
      </c>
      <c r="F163">
        <v>63</v>
      </c>
      <c r="G163" s="9">
        <v>3843</v>
      </c>
      <c r="H163" s="10">
        <v>3</v>
      </c>
      <c r="I163" s="10">
        <v>52</v>
      </c>
      <c r="J163" t="str">
        <f t="shared" si="8"/>
        <v>61+</v>
      </c>
      <c r="K163" t="str">
        <f t="shared" si="9"/>
        <v>Elderly</v>
      </c>
      <c r="L163" t="str">
        <f t="shared" si="10"/>
        <v>Low Cost</v>
      </c>
      <c r="M163" t="str">
        <f t="shared" si="11"/>
        <v>Poor</v>
      </c>
    </row>
    <row r="164" spans="1:13" x14ac:dyDescent="0.35">
      <c r="A164" t="s">
        <v>200</v>
      </c>
      <c r="B164" t="s">
        <v>15</v>
      </c>
      <c r="C164" t="s">
        <v>31</v>
      </c>
      <c r="D164" t="s">
        <v>65</v>
      </c>
      <c r="E164" t="s">
        <v>22</v>
      </c>
      <c r="F164">
        <v>31</v>
      </c>
      <c r="G164" s="9">
        <v>3971</v>
      </c>
      <c r="H164" s="10">
        <v>3</v>
      </c>
      <c r="I164" s="10">
        <v>93</v>
      </c>
      <c r="J164" t="str">
        <f t="shared" si="8"/>
        <v>21-40</v>
      </c>
      <c r="K164" t="str">
        <f t="shared" si="9"/>
        <v>Adult</v>
      </c>
      <c r="L164" t="str">
        <f t="shared" si="10"/>
        <v>Low Cost</v>
      </c>
      <c r="M164" t="str">
        <f t="shared" si="11"/>
        <v>Excellent</v>
      </c>
    </row>
    <row r="165" spans="1:13" x14ac:dyDescent="0.35">
      <c r="A165" t="s">
        <v>201</v>
      </c>
      <c r="B165" t="s">
        <v>49</v>
      </c>
      <c r="C165" t="s">
        <v>31</v>
      </c>
      <c r="D165" t="s">
        <v>17</v>
      </c>
      <c r="E165" t="s">
        <v>22</v>
      </c>
      <c r="F165">
        <v>25</v>
      </c>
      <c r="G165" s="9">
        <v>2000</v>
      </c>
      <c r="H165" s="10">
        <v>9</v>
      </c>
      <c r="I165" s="10">
        <v>55</v>
      </c>
      <c r="J165" t="str">
        <f t="shared" si="8"/>
        <v>21-40</v>
      </c>
      <c r="K165" t="str">
        <f t="shared" si="9"/>
        <v>Youth</v>
      </c>
      <c r="L165" t="str">
        <f t="shared" si="10"/>
        <v>Low Cost</v>
      </c>
      <c r="M165" t="str">
        <f t="shared" si="11"/>
        <v>Poor</v>
      </c>
    </row>
    <row r="166" spans="1:13" x14ac:dyDescent="0.35">
      <c r="A166" t="s">
        <v>202</v>
      </c>
      <c r="B166" t="s">
        <v>15</v>
      </c>
      <c r="C166" t="s">
        <v>45</v>
      </c>
      <c r="D166" t="s">
        <v>21</v>
      </c>
      <c r="E166" t="s">
        <v>18</v>
      </c>
      <c r="F166">
        <v>7</v>
      </c>
      <c r="G166" s="9">
        <v>3232</v>
      </c>
      <c r="H166" s="10">
        <v>2</v>
      </c>
      <c r="I166" s="10">
        <v>58</v>
      </c>
      <c r="J166" t="str">
        <f t="shared" si="8"/>
        <v>0-20</v>
      </c>
      <c r="K166" t="str">
        <f t="shared" si="9"/>
        <v>Child</v>
      </c>
      <c r="L166" t="str">
        <f t="shared" si="10"/>
        <v>Low Cost</v>
      </c>
      <c r="M166" t="str">
        <f t="shared" si="11"/>
        <v>Poor</v>
      </c>
    </row>
    <row r="167" spans="1:13" x14ac:dyDescent="0.35">
      <c r="A167" t="s">
        <v>203</v>
      </c>
      <c r="B167" t="s">
        <v>54</v>
      </c>
      <c r="C167" t="s">
        <v>45</v>
      </c>
      <c r="D167" t="s">
        <v>36</v>
      </c>
      <c r="E167" t="s">
        <v>18</v>
      </c>
      <c r="F167">
        <v>71</v>
      </c>
      <c r="G167" s="9">
        <v>2197</v>
      </c>
      <c r="H167" s="10">
        <v>5</v>
      </c>
      <c r="I167" s="10">
        <v>63</v>
      </c>
      <c r="J167" t="str">
        <f t="shared" si="8"/>
        <v>61+</v>
      </c>
      <c r="K167" t="str">
        <f t="shared" si="9"/>
        <v>Elderly</v>
      </c>
      <c r="L167" t="str">
        <f t="shared" si="10"/>
        <v>Low Cost</v>
      </c>
      <c r="M167" t="str">
        <f t="shared" si="11"/>
        <v>Good</v>
      </c>
    </row>
    <row r="168" spans="1:13" x14ac:dyDescent="0.35">
      <c r="A168" t="s">
        <v>204</v>
      </c>
      <c r="B168" t="s">
        <v>54</v>
      </c>
      <c r="C168" t="s">
        <v>45</v>
      </c>
      <c r="D168" t="s">
        <v>34</v>
      </c>
      <c r="E168" t="s">
        <v>18</v>
      </c>
      <c r="F168">
        <v>77</v>
      </c>
      <c r="G168" s="9">
        <v>523</v>
      </c>
      <c r="H168" s="10">
        <v>3</v>
      </c>
      <c r="I168" s="10">
        <v>59</v>
      </c>
      <c r="J168" t="str">
        <f t="shared" si="8"/>
        <v>61+</v>
      </c>
      <c r="K168" t="str">
        <f t="shared" si="9"/>
        <v>Elderly</v>
      </c>
      <c r="L168" t="str">
        <f t="shared" si="10"/>
        <v>Low Cost</v>
      </c>
      <c r="M168" t="str">
        <f t="shared" si="11"/>
        <v>Poor</v>
      </c>
    </row>
    <row r="169" spans="1:13" x14ac:dyDescent="0.35">
      <c r="A169" t="s">
        <v>205</v>
      </c>
      <c r="B169" t="s">
        <v>27</v>
      </c>
      <c r="C169" t="s">
        <v>31</v>
      </c>
      <c r="D169" t="s">
        <v>47</v>
      </c>
      <c r="E169" t="s">
        <v>22</v>
      </c>
      <c r="F169">
        <v>4</v>
      </c>
      <c r="G169" s="9">
        <v>2079</v>
      </c>
      <c r="H169" s="10">
        <v>2</v>
      </c>
      <c r="I169" s="10">
        <v>72</v>
      </c>
      <c r="J169" t="str">
        <f t="shared" si="8"/>
        <v>0-20</v>
      </c>
      <c r="K169" t="str">
        <f t="shared" si="9"/>
        <v>Infant</v>
      </c>
      <c r="L169" t="str">
        <f t="shared" si="10"/>
        <v>Low Cost</v>
      </c>
      <c r="M169" t="str">
        <f t="shared" si="11"/>
        <v>Good</v>
      </c>
    </row>
    <row r="170" spans="1:13" x14ac:dyDescent="0.35">
      <c r="A170" t="s">
        <v>206</v>
      </c>
      <c r="B170" t="s">
        <v>54</v>
      </c>
      <c r="C170" t="s">
        <v>45</v>
      </c>
      <c r="D170" t="s">
        <v>21</v>
      </c>
      <c r="E170" t="s">
        <v>22</v>
      </c>
      <c r="F170">
        <v>23</v>
      </c>
      <c r="G170" s="9">
        <v>2673</v>
      </c>
      <c r="H170" s="10">
        <v>1</v>
      </c>
      <c r="I170" s="10">
        <v>58</v>
      </c>
      <c r="J170" t="str">
        <f t="shared" si="8"/>
        <v>21-40</v>
      </c>
      <c r="K170" t="str">
        <f t="shared" si="9"/>
        <v>Youth</v>
      </c>
      <c r="L170" t="str">
        <f t="shared" si="10"/>
        <v>Low Cost</v>
      </c>
      <c r="M170" t="str">
        <f t="shared" si="11"/>
        <v>Poor</v>
      </c>
    </row>
    <row r="171" spans="1:13" x14ac:dyDescent="0.35">
      <c r="A171" t="s">
        <v>207</v>
      </c>
      <c r="B171" t="s">
        <v>15</v>
      </c>
      <c r="C171" t="s">
        <v>28</v>
      </c>
      <c r="D171" t="s">
        <v>25</v>
      </c>
      <c r="E171" t="s">
        <v>22</v>
      </c>
      <c r="F171">
        <v>9</v>
      </c>
      <c r="G171" s="9">
        <v>1175</v>
      </c>
      <c r="H171" s="10">
        <v>2</v>
      </c>
      <c r="I171" s="10">
        <v>99</v>
      </c>
      <c r="J171" t="str">
        <f t="shared" si="8"/>
        <v>0-20</v>
      </c>
      <c r="K171" t="str">
        <f t="shared" si="9"/>
        <v>Child</v>
      </c>
      <c r="L171" t="str">
        <f t="shared" si="10"/>
        <v>Low Cost</v>
      </c>
      <c r="M171" t="str">
        <f t="shared" si="11"/>
        <v>Excellent</v>
      </c>
    </row>
    <row r="172" spans="1:13" x14ac:dyDescent="0.35">
      <c r="A172" t="s">
        <v>208</v>
      </c>
      <c r="B172" t="s">
        <v>49</v>
      </c>
      <c r="C172" t="s">
        <v>16</v>
      </c>
      <c r="D172" t="s">
        <v>39</v>
      </c>
      <c r="E172" t="s">
        <v>18</v>
      </c>
      <c r="F172">
        <v>79</v>
      </c>
      <c r="G172" s="9">
        <v>5710</v>
      </c>
      <c r="H172" s="10">
        <v>15</v>
      </c>
      <c r="I172" s="10">
        <v>83</v>
      </c>
      <c r="J172" t="str">
        <f t="shared" si="8"/>
        <v>61+</v>
      </c>
      <c r="K172" t="str">
        <f t="shared" si="9"/>
        <v>Elderly</v>
      </c>
      <c r="L172" t="str">
        <f t="shared" si="10"/>
        <v>Low Cost</v>
      </c>
      <c r="M172" t="str">
        <f t="shared" si="11"/>
        <v>Excellent</v>
      </c>
    </row>
    <row r="173" spans="1:13" x14ac:dyDescent="0.35">
      <c r="A173" t="s">
        <v>209</v>
      </c>
      <c r="B173" t="s">
        <v>49</v>
      </c>
      <c r="C173" t="s">
        <v>28</v>
      </c>
      <c r="D173" t="s">
        <v>17</v>
      </c>
      <c r="E173" t="s">
        <v>22</v>
      </c>
      <c r="F173">
        <v>62</v>
      </c>
      <c r="G173" s="9">
        <v>1935</v>
      </c>
      <c r="H173" s="10">
        <v>2</v>
      </c>
      <c r="I173" s="10">
        <v>77</v>
      </c>
      <c r="J173" t="str">
        <f t="shared" si="8"/>
        <v>61+</v>
      </c>
      <c r="K173" t="str">
        <f t="shared" si="9"/>
        <v>Elderly</v>
      </c>
      <c r="L173" t="str">
        <f t="shared" si="10"/>
        <v>Low Cost</v>
      </c>
      <c r="M173" t="str">
        <f t="shared" si="11"/>
        <v>Good</v>
      </c>
    </row>
    <row r="174" spans="1:13" x14ac:dyDescent="0.35">
      <c r="A174" t="s">
        <v>210</v>
      </c>
      <c r="B174" t="s">
        <v>15</v>
      </c>
      <c r="C174" t="s">
        <v>16</v>
      </c>
      <c r="D174" t="s">
        <v>39</v>
      </c>
      <c r="E174" t="s">
        <v>18</v>
      </c>
      <c r="F174">
        <v>57</v>
      </c>
      <c r="G174" s="9">
        <v>6204</v>
      </c>
      <c r="H174" s="10">
        <v>6</v>
      </c>
      <c r="I174" s="10">
        <v>70</v>
      </c>
      <c r="J174" t="str">
        <f t="shared" si="8"/>
        <v>41-60</v>
      </c>
      <c r="K174" t="str">
        <f t="shared" si="9"/>
        <v>Middle Age</v>
      </c>
      <c r="L174" t="str">
        <f t="shared" si="10"/>
        <v>Low Cost</v>
      </c>
      <c r="M174" t="str">
        <f t="shared" si="11"/>
        <v>Good</v>
      </c>
    </row>
    <row r="175" spans="1:13" x14ac:dyDescent="0.35">
      <c r="A175" t="s">
        <v>211</v>
      </c>
      <c r="B175" t="s">
        <v>24</v>
      </c>
      <c r="C175" t="s">
        <v>45</v>
      </c>
      <c r="D175" t="s">
        <v>36</v>
      </c>
      <c r="E175" t="s">
        <v>22</v>
      </c>
      <c r="F175">
        <v>80</v>
      </c>
      <c r="G175" s="9">
        <v>4992</v>
      </c>
      <c r="H175" s="10">
        <v>3</v>
      </c>
      <c r="I175" s="10">
        <v>74</v>
      </c>
      <c r="J175" t="str">
        <f t="shared" si="8"/>
        <v>61+</v>
      </c>
      <c r="K175" t="str">
        <f t="shared" si="9"/>
        <v>Elderly</v>
      </c>
      <c r="L175" t="str">
        <f t="shared" si="10"/>
        <v>Low Cost</v>
      </c>
      <c r="M175" t="str">
        <f t="shared" si="11"/>
        <v>Good</v>
      </c>
    </row>
    <row r="176" spans="1:13" x14ac:dyDescent="0.35">
      <c r="A176" t="s">
        <v>212</v>
      </c>
      <c r="B176" t="s">
        <v>24</v>
      </c>
      <c r="C176" t="s">
        <v>31</v>
      </c>
      <c r="D176" t="s">
        <v>39</v>
      </c>
      <c r="E176" t="s">
        <v>18</v>
      </c>
      <c r="F176">
        <v>56</v>
      </c>
      <c r="G176" s="9">
        <v>1812</v>
      </c>
      <c r="H176" s="10">
        <v>3</v>
      </c>
      <c r="I176" s="10">
        <v>91</v>
      </c>
      <c r="J176" t="str">
        <f t="shared" si="8"/>
        <v>41-60</v>
      </c>
      <c r="K176" t="str">
        <f t="shared" si="9"/>
        <v>Middle Age</v>
      </c>
      <c r="L176" t="str">
        <f t="shared" si="10"/>
        <v>Low Cost</v>
      </c>
      <c r="M176" t="str">
        <f t="shared" si="11"/>
        <v>Excellent</v>
      </c>
    </row>
    <row r="177" spans="1:13" x14ac:dyDescent="0.35">
      <c r="A177" t="s">
        <v>213</v>
      </c>
      <c r="B177" t="s">
        <v>15</v>
      </c>
      <c r="C177" t="s">
        <v>45</v>
      </c>
      <c r="D177" t="s">
        <v>52</v>
      </c>
      <c r="E177" t="s">
        <v>22</v>
      </c>
      <c r="F177">
        <v>30</v>
      </c>
      <c r="G177" s="9">
        <v>3889</v>
      </c>
      <c r="H177" s="10">
        <v>3</v>
      </c>
      <c r="I177" s="10">
        <v>79</v>
      </c>
      <c r="J177" t="str">
        <f t="shared" si="8"/>
        <v>21-40</v>
      </c>
      <c r="K177" t="str">
        <f t="shared" si="9"/>
        <v>Adult</v>
      </c>
      <c r="L177" t="str">
        <f t="shared" si="10"/>
        <v>Low Cost</v>
      </c>
      <c r="M177" t="str">
        <f t="shared" si="11"/>
        <v>Good</v>
      </c>
    </row>
    <row r="178" spans="1:13" x14ac:dyDescent="0.35">
      <c r="A178" t="s">
        <v>214</v>
      </c>
      <c r="B178" t="s">
        <v>30</v>
      </c>
      <c r="C178" t="s">
        <v>28</v>
      </c>
      <c r="D178" t="s">
        <v>36</v>
      </c>
      <c r="E178" t="s">
        <v>22</v>
      </c>
      <c r="F178">
        <v>41</v>
      </c>
      <c r="G178" s="9">
        <v>1562</v>
      </c>
      <c r="H178" s="10">
        <v>2</v>
      </c>
      <c r="I178" s="10">
        <v>73</v>
      </c>
      <c r="J178" t="str">
        <f t="shared" si="8"/>
        <v>41-60</v>
      </c>
      <c r="K178" t="str">
        <f t="shared" si="9"/>
        <v>Adult</v>
      </c>
      <c r="L178" t="str">
        <f t="shared" si="10"/>
        <v>Low Cost</v>
      </c>
      <c r="M178" t="str">
        <f t="shared" si="11"/>
        <v>Good</v>
      </c>
    </row>
    <row r="179" spans="1:13" x14ac:dyDescent="0.35">
      <c r="A179" t="s">
        <v>215</v>
      </c>
      <c r="B179" t="s">
        <v>27</v>
      </c>
      <c r="C179" t="s">
        <v>28</v>
      </c>
      <c r="D179" t="s">
        <v>36</v>
      </c>
      <c r="E179" t="s">
        <v>22</v>
      </c>
      <c r="F179">
        <v>11</v>
      </c>
      <c r="G179" s="9">
        <v>390</v>
      </c>
      <c r="H179" s="10">
        <v>2</v>
      </c>
      <c r="I179" s="10">
        <v>56</v>
      </c>
      <c r="J179" t="str">
        <f t="shared" si="8"/>
        <v>0-20</v>
      </c>
      <c r="K179" t="str">
        <f t="shared" si="9"/>
        <v>Child</v>
      </c>
      <c r="L179" t="str">
        <f t="shared" si="10"/>
        <v>Low Cost</v>
      </c>
      <c r="M179" t="str">
        <f t="shared" si="11"/>
        <v>Poor</v>
      </c>
    </row>
    <row r="180" spans="1:13" x14ac:dyDescent="0.35">
      <c r="A180" t="s">
        <v>216</v>
      </c>
      <c r="B180" t="s">
        <v>15</v>
      </c>
      <c r="C180" t="s">
        <v>31</v>
      </c>
      <c r="D180" t="s">
        <v>47</v>
      </c>
      <c r="E180" t="s">
        <v>18</v>
      </c>
      <c r="F180">
        <v>76</v>
      </c>
      <c r="G180" s="9">
        <v>5600</v>
      </c>
      <c r="H180" s="10">
        <v>10</v>
      </c>
      <c r="I180" s="10">
        <v>71</v>
      </c>
      <c r="J180" t="str">
        <f t="shared" si="8"/>
        <v>61+</v>
      </c>
      <c r="K180" t="str">
        <f t="shared" si="9"/>
        <v>Elderly</v>
      </c>
      <c r="L180" t="str">
        <f t="shared" si="10"/>
        <v>Low Cost</v>
      </c>
      <c r="M180" t="str">
        <f t="shared" si="11"/>
        <v>Good</v>
      </c>
    </row>
    <row r="181" spans="1:13" x14ac:dyDescent="0.35">
      <c r="A181" t="s">
        <v>217</v>
      </c>
      <c r="B181" t="s">
        <v>15</v>
      </c>
      <c r="C181" t="s">
        <v>16</v>
      </c>
      <c r="D181" t="s">
        <v>52</v>
      </c>
      <c r="E181" t="s">
        <v>22</v>
      </c>
      <c r="F181">
        <v>86</v>
      </c>
      <c r="G181" s="9">
        <v>17292</v>
      </c>
      <c r="H181" s="10">
        <v>11</v>
      </c>
      <c r="I181" s="10">
        <v>96</v>
      </c>
      <c r="J181" t="str">
        <f t="shared" si="8"/>
        <v>61+</v>
      </c>
      <c r="K181" t="str">
        <f t="shared" si="9"/>
        <v>Elderly</v>
      </c>
      <c r="L181" t="str">
        <f t="shared" si="10"/>
        <v>High Cost</v>
      </c>
      <c r="M181" t="str">
        <f t="shared" si="11"/>
        <v>Excellent</v>
      </c>
    </row>
    <row r="182" spans="1:13" x14ac:dyDescent="0.35">
      <c r="A182" t="s">
        <v>218</v>
      </c>
      <c r="B182" t="s">
        <v>20</v>
      </c>
      <c r="C182" t="s">
        <v>31</v>
      </c>
      <c r="D182" t="s">
        <v>21</v>
      </c>
      <c r="E182" t="s">
        <v>22</v>
      </c>
      <c r="F182">
        <v>14</v>
      </c>
      <c r="G182" s="9">
        <v>5734</v>
      </c>
      <c r="H182" s="10">
        <v>10</v>
      </c>
      <c r="I182" s="10">
        <v>63</v>
      </c>
      <c r="J182" t="str">
        <f t="shared" si="8"/>
        <v>0-20</v>
      </c>
      <c r="K182" t="str">
        <f t="shared" si="9"/>
        <v>Teenager</v>
      </c>
      <c r="L182" t="str">
        <f t="shared" si="10"/>
        <v>Low Cost</v>
      </c>
      <c r="M182" t="str">
        <f t="shared" si="11"/>
        <v>Good</v>
      </c>
    </row>
    <row r="183" spans="1:13" x14ac:dyDescent="0.35">
      <c r="A183" t="s">
        <v>219</v>
      </c>
      <c r="B183" t="s">
        <v>27</v>
      </c>
      <c r="C183" t="s">
        <v>28</v>
      </c>
      <c r="D183" t="s">
        <v>65</v>
      </c>
      <c r="E183" t="s">
        <v>18</v>
      </c>
      <c r="F183">
        <v>45</v>
      </c>
      <c r="G183" s="9">
        <v>1931</v>
      </c>
      <c r="H183" s="10">
        <v>3</v>
      </c>
      <c r="I183" s="10">
        <v>73</v>
      </c>
      <c r="J183" t="str">
        <f t="shared" si="8"/>
        <v>41-60</v>
      </c>
      <c r="K183" t="str">
        <f t="shared" si="9"/>
        <v>Middle Age</v>
      </c>
      <c r="L183" t="str">
        <f t="shared" si="10"/>
        <v>Low Cost</v>
      </c>
      <c r="M183" t="str">
        <f t="shared" si="11"/>
        <v>Good</v>
      </c>
    </row>
    <row r="184" spans="1:13" x14ac:dyDescent="0.35">
      <c r="A184" t="s">
        <v>220</v>
      </c>
      <c r="B184" t="s">
        <v>20</v>
      </c>
      <c r="C184" t="s">
        <v>31</v>
      </c>
      <c r="D184" t="s">
        <v>21</v>
      </c>
      <c r="E184" t="s">
        <v>22</v>
      </c>
      <c r="F184">
        <v>55</v>
      </c>
      <c r="G184" s="9">
        <v>5595</v>
      </c>
      <c r="H184" s="10">
        <v>10</v>
      </c>
      <c r="I184" s="10">
        <v>51</v>
      </c>
      <c r="J184" t="str">
        <f t="shared" si="8"/>
        <v>41-60</v>
      </c>
      <c r="K184" t="str">
        <f t="shared" si="9"/>
        <v>Middle Age</v>
      </c>
      <c r="L184" t="str">
        <f t="shared" si="10"/>
        <v>Low Cost</v>
      </c>
      <c r="M184" t="str">
        <f t="shared" si="11"/>
        <v>Poor</v>
      </c>
    </row>
    <row r="185" spans="1:13" x14ac:dyDescent="0.35">
      <c r="A185" t="s">
        <v>221</v>
      </c>
      <c r="B185" t="s">
        <v>24</v>
      </c>
      <c r="C185" t="s">
        <v>31</v>
      </c>
      <c r="D185" t="s">
        <v>17</v>
      </c>
      <c r="E185" t="s">
        <v>22</v>
      </c>
      <c r="F185">
        <v>90</v>
      </c>
      <c r="G185" s="9">
        <v>3531</v>
      </c>
      <c r="H185" s="10">
        <v>7</v>
      </c>
      <c r="I185" s="10">
        <v>72</v>
      </c>
      <c r="J185" t="str">
        <f t="shared" si="8"/>
        <v>61+</v>
      </c>
      <c r="K185" t="str">
        <f t="shared" si="9"/>
        <v>Elderly</v>
      </c>
      <c r="L185" t="str">
        <f t="shared" si="10"/>
        <v>Low Cost</v>
      </c>
      <c r="M185" t="str">
        <f t="shared" si="11"/>
        <v>Good</v>
      </c>
    </row>
    <row r="186" spans="1:13" x14ac:dyDescent="0.35">
      <c r="A186" t="s">
        <v>222</v>
      </c>
      <c r="B186" t="s">
        <v>20</v>
      </c>
      <c r="C186" t="s">
        <v>45</v>
      </c>
      <c r="D186" t="s">
        <v>47</v>
      </c>
      <c r="E186" t="s">
        <v>18</v>
      </c>
      <c r="F186">
        <v>52</v>
      </c>
      <c r="G186" s="9">
        <v>1070</v>
      </c>
      <c r="H186" s="10">
        <v>2</v>
      </c>
      <c r="I186" s="10">
        <v>97</v>
      </c>
      <c r="J186" t="str">
        <f t="shared" si="8"/>
        <v>41-60</v>
      </c>
      <c r="K186" t="str">
        <f t="shared" si="9"/>
        <v>Middle Age</v>
      </c>
      <c r="L186" t="str">
        <f t="shared" si="10"/>
        <v>Low Cost</v>
      </c>
      <c r="M186" t="str">
        <f t="shared" si="11"/>
        <v>Excellent</v>
      </c>
    </row>
    <row r="187" spans="1:13" x14ac:dyDescent="0.35">
      <c r="A187" t="s">
        <v>223</v>
      </c>
      <c r="B187" t="s">
        <v>15</v>
      </c>
      <c r="C187" t="s">
        <v>16</v>
      </c>
      <c r="D187" t="s">
        <v>36</v>
      </c>
      <c r="E187" t="s">
        <v>18</v>
      </c>
      <c r="F187">
        <v>28</v>
      </c>
      <c r="G187" s="9">
        <v>11163</v>
      </c>
      <c r="H187" s="10">
        <v>11</v>
      </c>
      <c r="I187" s="10">
        <v>79</v>
      </c>
      <c r="J187" t="str">
        <f t="shared" si="8"/>
        <v>21-40</v>
      </c>
      <c r="K187" t="str">
        <f t="shared" si="9"/>
        <v>Youth</v>
      </c>
      <c r="L187" t="str">
        <f t="shared" si="10"/>
        <v>High Cost</v>
      </c>
      <c r="M187" t="str">
        <f t="shared" si="11"/>
        <v>Good</v>
      </c>
    </row>
    <row r="188" spans="1:13" x14ac:dyDescent="0.35">
      <c r="A188" t="s">
        <v>224</v>
      </c>
      <c r="B188" t="s">
        <v>49</v>
      </c>
      <c r="C188" t="s">
        <v>45</v>
      </c>
      <c r="D188" t="s">
        <v>34</v>
      </c>
      <c r="E188" t="s">
        <v>22</v>
      </c>
      <c r="F188">
        <v>42</v>
      </c>
      <c r="G188" s="9">
        <v>1195</v>
      </c>
      <c r="H188" s="10">
        <v>1</v>
      </c>
      <c r="I188" s="10">
        <v>59</v>
      </c>
      <c r="J188" t="str">
        <f t="shared" si="8"/>
        <v>41-60</v>
      </c>
      <c r="K188" t="str">
        <f t="shared" si="9"/>
        <v>Adult</v>
      </c>
      <c r="L188" t="str">
        <f t="shared" si="10"/>
        <v>Low Cost</v>
      </c>
      <c r="M188" t="str">
        <f t="shared" si="11"/>
        <v>Poor</v>
      </c>
    </row>
    <row r="189" spans="1:13" x14ac:dyDescent="0.35">
      <c r="A189" t="s">
        <v>225</v>
      </c>
      <c r="B189" t="s">
        <v>27</v>
      </c>
      <c r="C189" t="s">
        <v>16</v>
      </c>
      <c r="D189" t="s">
        <v>36</v>
      </c>
      <c r="E189" t="s">
        <v>22</v>
      </c>
      <c r="F189">
        <v>85</v>
      </c>
      <c r="G189" s="9">
        <v>11947</v>
      </c>
      <c r="H189" s="10">
        <v>12</v>
      </c>
      <c r="I189" s="10">
        <v>88</v>
      </c>
      <c r="J189" t="str">
        <f t="shared" si="8"/>
        <v>61+</v>
      </c>
      <c r="K189" t="str">
        <f t="shared" si="9"/>
        <v>Elderly</v>
      </c>
      <c r="L189" t="str">
        <f t="shared" si="10"/>
        <v>High Cost</v>
      </c>
      <c r="M189" t="str">
        <f t="shared" si="11"/>
        <v>Excellent</v>
      </c>
    </row>
    <row r="190" spans="1:13" x14ac:dyDescent="0.35">
      <c r="A190" t="s">
        <v>226</v>
      </c>
      <c r="B190" t="s">
        <v>30</v>
      </c>
      <c r="C190" t="s">
        <v>28</v>
      </c>
      <c r="D190" t="s">
        <v>32</v>
      </c>
      <c r="E190" t="s">
        <v>22</v>
      </c>
      <c r="F190">
        <v>66</v>
      </c>
      <c r="G190" s="9">
        <v>433</v>
      </c>
      <c r="H190" s="10">
        <v>2</v>
      </c>
      <c r="I190" s="10">
        <v>77</v>
      </c>
      <c r="J190" t="str">
        <f t="shared" si="8"/>
        <v>61+</v>
      </c>
      <c r="K190" t="str">
        <f t="shared" si="9"/>
        <v>Elderly</v>
      </c>
      <c r="L190" t="str">
        <f t="shared" si="10"/>
        <v>Low Cost</v>
      </c>
      <c r="M190" t="str">
        <f t="shared" si="11"/>
        <v>Good</v>
      </c>
    </row>
    <row r="191" spans="1:13" x14ac:dyDescent="0.35">
      <c r="A191" t="s">
        <v>227</v>
      </c>
      <c r="B191" t="s">
        <v>20</v>
      </c>
      <c r="C191" t="s">
        <v>31</v>
      </c>
      <c r="D191" t="s">
        <v>21</v>
      </c>
      <c r="E191" t="s">
        <v>22</v>
      </c>
      <c r="F191">
        <v>86</v>
      </c>
      <c r="G191" s="9">
        <v>3526</v>
      </c>
      <c r="H191" s="10">
        <v>2</v>
      </c>
      <c r="I191" s="10">
        <v>64</v>
      </c>
      <c r="J191" t="str">
        <f t="shared" si="8"/>
        <v>61+</v>
      </c>
      <c r="K191" t="str">
        <f t="shared" si="9"/>
        <v>Elderly</v>
      </c>
      <c r="L191" t="str">
        <f t="shared" si="10"/>
        <v>Low Cost</v>
      </c>
      <c r="M191" t="str">
        <f t="shared" si="11"/>
        <v>Good</v>
      </c>
    </row>
    <row r="192" spans="1:13" x14ac:dyDescent="0.35">
      <c r="A192" t="s">
        <v>228</v>
      </c>
      <c r="B192" t="s">
        <v>30</v>
      </c>
      <c r="C192" t="s">
        <v>16</v>
      </c>
      <c r="D192" t="s">
        <v>17</v>
      </c>
      <c r="E192" t="s">
        <v>22</v>
      </c>
      <c r="F192">
        <v>28</v>
      </c>
      <c r="G192" s="9">
        <v>17572</v>
      </c>
      <c r="H192" s="10">
        <v>7</v>
      </c>
      <c r="I192" s="10">
        <v>98</v>
      </c>
      <c r="J192" t="str">
        <f t="shared" si="8"/>
        <v>21-40</v>
      </c>
      <c r="K192" t="str">
        <f t="shared" si="9"/>
        <v>Youth</v>
      </c>
      <c r="L192" t="str">
        <f t="shared" si="10"/>
        <v>High Cost</v>
      </c>
      <c r="M192" t="str">
        <f t="shared" si="11"/>
        <v>Excellent</v>
      </c>
    </row>
    <row r="193" spans="1:13" x14ac:dyDescent="0.35">
      <c r="A193" t="s">
        <v>229</v>
      </c>
      <c r="B193" t="s">
        <v>49</v>
      </c>
      <c r="C193" t="s">
        <v>31</v>
      </c>
      <c r="D193" t="s">
        <v>34</v>
      </c>
      <c r="E193" t="s">
        <v>22</v>
      </c>
      <c r="F193">
        <v>64</v>
      </c>
      <c r="G193" s="9">
        <v>4527</v>
      </c>
      <c r="H193" s="10">
        <v>4</v>
      </c>
      <c r="I193" s="10">
        <v>58</v>
      </c>
      <c r="J193" t="str">
        <f t="shared" si="8"/>
        <v>61+</v>
      </c>
      <c r="K193" t="str">
        <f t="shared" si="9"/>
        <v>Elderly</v>
      </c>
      <c r="L193" t="str">
        <f t="shared" si="10"/>
        <v>Low Cost</v>
      </c>
      <c r="M193" t="str">
        <f t="shared" si="11"/>
        <v>Poor</v>
      </c>
    </row>
    <row r="194" spans="1:13" x14ac:dyDescent="0.35">
      <c r="A194" t="s">
        <v>230</v>
      </c>
      <c r="B194" t="s">
        <v>30</v>
      </c>
      <c r="C194" t="s">
        <v>45</v>
      </c>
      <c r="D194" t="s">
        <v>25</v>
      </c>
      <c r="E194" t="s">
        <v>18</v>
      </c>
      <c r="F194">
        <v>86</v>
      </c>
      <c r="G194" s="9">
        <v>3401</v>
      </c>
      <c r="H194" s="10">
        <v>1</v>
      </c>
      <c r="I194" s="10">
        <v>75</v>
      </c>
      <c r="J194" t="str">
        <f t="shared" ref="J194:J257" si="12">IF(F194&lt;=20,"0-20",IF(F194&lt;=40,"21-40",IF(F194&lt;=60,"41-60","61+")))</f>
        <v>61+</v>
      </c>
      <c r="K194" t="str">
        <f t="shared" ref="K194:K257" si="13">IF(F194&lt;=5,"Infant",IF(F194&lt;=12,"Child",IF(F194&lt;=19,"Teenager",IF(F194&lt;=29,"Youth",IF(F194&lt;=44,"Adult",IF(F194&lt;=60,"Middle Age",IF(F194&gt;60,"Elderly")))))))</f>
        <v>Elderly</v>
      </c>
      <c r="L194" t="str">
        <f t="shared" ref="L194:L257" si="14">IF(G194&gt;=7500,"High Cost","Low Cost")</f>
        <v>Low Cost</v>
      </c>
      <c r="M194" t="str">
        <f t="shared" ref="M194:M257" si="15">IF(I194&gt;=80,"Excellent",IF(I194&gt;=60,"Good","Poor"))</f>
        <v>Good</v>
      </c>
    </row>
    <row r="195" spans="1:13" x14ac:dyDescent="0.35">
      <c r="A195" t="s">
        <v>231</v>
      </c>
      <c r="B195" t="s">
        <v>54</v>
      </c>
      <c r="C195" t="s">
        <v>16</v>
      </c>
      <c r="D195" t="s">
        <v>52</v>
      </c>
      <c r="E195" t="s">
        <v>22</v>
      </c>
      <c r="F195">
        <v>10</v>
      </c>
      <c r="G195" s="9">
        <v>19124</v>
      </c>
      <c r="H195" s="10">
        <v>10</v>
      </c>
      <c r="I195" s="10">
        <v>86</v>
      </c>
      <c r="J195" t="str">
        <f t="shared" si="12"/>
        <v>0-20</v>
      </c>
      <c r="K195" t="str">
        <f t="shared" si="13"/>
        <v>Child</v>
      </c>
      <c r="L195" t="str">
        <f t="shared" si="14"/>
        <v>High Cost</v>
      </c>
      <c r="M195" t="str">
        <f t="shared" si="15"/>
        <v>Excellent</v>
      </c>
    </row>
    <row r="196" spans="1:13" x14ac:dyDescent="0.35">
      <c r="A196" t="s">
        <v>232</v>
      </c>
      <c r="B196" t="s">
        <v>30</v>
      </c>
      <c r="C196" t="s">
        <v>28</v>
      </c>
      <c r="D196" t="s">
        <v>52</v>
      </c>
      <c r="E196" t="s">
        <v>22</v>
      </c>
      <c r="F196">
        <v>52</v>
      </c>
      <c r="G196" s="9">
        <v>242</v>
      </c>
      <c r="H196" s="10">
        <v>2</v>
      </c>
      <c r="I196" s="10">
        <v>60</v>
      </c>
      <c r="J196" t="str">
        <f t="shared" si="12"/>
        <v>41-60</v>
      </c>
      <c r="K196" t="str">
        <f t="shared" si="13"/>
        <v>Middle Age</v>
      </c>
      <c r="L196" t="str">
        <f t="shared" si="14"/>
        <v>Low Cost</v>
      </c>
      <c r="M196" t="str">
        <f t="shared" si="15"/>
        <v>Good</v>
      </c>
    </row>
    <row r="197" spans="1:13" x14ac:dyDescent="0.35">
      <c r="A197" t="s">
        <v>233</v>
      </c>
      <c r="B197" t="s">
        <v>54</v>
      </c>
      <c r="C197" t="s">
        <v>28</v>
      </c>
      <c r="D197" t="s">
        <v>34</v>
      </c>
      <c r="E197" t="s">
        <v>22</v>
      </c>
      <c r="F197">
        <v>14</v>
      </c>
      <c r="G197" s="9">
        <v>698</v>
      </c>
      <c r="H197" s="10">
        <v>2</v>
      </c>
      <c r="I197" s="10">
        <v>87</v>
      </c>
      <c r="J197" t="str">
        <f t="shared" si="12"/>
        <v>0-20</v>
      </c>
      <c r="K197" t="str">
        <f t="shared" si="13"/>
        <v>Teenager</v>
      </c>
      <c r="L197" t="str">
        <f t="shared" si="14"/>
        <v>Low Cost</v>
      </c>
      <c r="M197" t="str">
        <f t="shared" si="15"/>
        <v>Excellent</v>
      </c>
    </row>
    <row r="198" spans="1:13" x14ac:dyDescent="0.35">
      <c r="A198" t="s">
        <v>234</v>
      </c>
      <c r="B198" t="s">
        <v>30</v>
      </c>
      <c r="C198" t="s">
        <v>16</v>
      </c>
      <c r="D198" t="s">
        <v>52</v>
      </c>
      <c r="E198" t="s">
        <v>18</v>
      </c>
      <c r="F198">
        <v>44</v>
      </c>
      <c r="G198" s="9">
        <v>8630</v>
      </c>
      <c r="H198" s="10">
        <v>10</v>
      </c>
      <c r="I198" s="10">
        <v>99</v>
      </c>
      <c r="J198" t="str">
        <f t="shared" si="12"/>
        <v>41-60</v>
      </c>
      <c r="K198" t="str">
        <f t="shared" si="13"/>
        <v>Adult</v>
      </c>
      <c r="L198" t="str">
        <f t="shared" si="14"/>
        <v>High Cost</v>
      </c>
      <c r="M198" t="str">
        <f t="shared" si="15"/>
        <v>Excellent</v>
      </c>
    </row>
    <row r="199" spans="1:13" x14ac:dyDescent="0.35">
      <c r="A199" t="s">
        <v>235</v>
      </c>
      <c r="B199" t="s">
        <v>27</v>
      </c>
      <c r="C199" t="s">
        <v>16</v>
      </c>
      <c r="D199" t="s">
        <v>25</v>
      </c>
      <c r="E199" t="s">
        <v>18</v>
      </c>
      <c r="F199">
        <v>68</v>
      </c>
      <c r="G199" s="9">
        <v>13355</v>
      </c>
      <c r="H199" s="10">
        <v>8</v>
      </c>
      <c r="I199" s="10">
        <v>99</v>
      </c>
      <c r="J199" t="str">
        <f t="shared" si="12"/>
        <v>61+</v>
      </c>
      <c r="K199" t="str">
        <f t="shared" si="13"/>
        <v>Elderly</v>
      </c>
      <c r="L199" t="str">
        <f t="shared" si="14"/>
        <v>High Cost</v>
      </c>
      <c r="M199" t="str">
        <f t="shared" si="15"/>
        <v>Excellent</v>
      </c>
    </row>
    <row r="200" spans="1:13" x14ac:dyDescent="0.35">
      <c r="A200" t="s">
        <v>236</v>
      </c>
      <c r="B200" t="s">
        <v>49</v>
      </c>
      <c r="C200" t="s">
        <v>31</v>
      </c>
      <c r="D200" t="s">
        <v>47</v>
      </c>
      <c r="E200" t="s">
        <v>22</v>
      </c>
      <c r="F200">
        <v>19</v>
      </c>
      <c r="G200" s="9">
        <v>3096</v>
      </c>
      <c r="H200" s="10">
        <v>5</v>
      </c>
      <c r="I200" s="10">
        <v>61</v>
      </c>
      <c r="J200" t="str">
        <f t="shared" si="12"/>
        <v>0-20</v>
      </c>
      <c r="K200" t="str">
        <f t="shared" si="13"/>
        <v>Teenager</v>
      </c>
      <c r="L200" t="str">
        <f t="shared" si="14"/>
        <v>Low Cost</v>
      </c>
      <c r="M200" t="str">
        <f t="shared" si="15"/>
        <v>Good</v>
      </c>
    </row>
    <row r="201" spans="1:13" x14ac:dyDescent="0.35">
      <c r="A201" t="s">
        <v>237</v>
      </c>
      <c r="B201" t="s">
        <v>24</v>
      </c>
      <c r="C201" t="s">
        <v>45</v>
      </c>
      <c r="D201" t="s">
        <v>36</v>
      </c>
      <c r="E201" t="s">
        <v>22</v>
      </c>
      <c r="F201">
        <v>81</v>
      </c>
      <c r="G201" s="9">
        <v>4547</v>
      </c>
      <c r="H201" s="10">
        <v>4</v>
      </c>
      <c r="I201" s="10">
        <v>98</v>
      </c>
      <c r="J201" t="str">
        <f t="shared" si="12"/>
        <v>61+</v>
      </c>
      <c r="K201" t="str">
        <f t="shared" si="13"/>
        <v>Elderly</v>
      </c>
      <c r="L201" t="str">
        <f t="shared" si="14"/>
        <v>Low Cost</v>
      </c>
      <c r="M201" t="str">
        <f t="shared" si="15"/>
        <v>Excellent</v>
      </c>
    </row>
    <row r="202" spans="1:13" x14ac:dyDescent="0.35">
      <c r="A202" t="s">
        <v>238</v>
      </c>
      <c r="B202" t="s">
        <v>24</v>
      </c>
      <c r="C202" t="s">
        <v>28</v>
      </c>
      <c r="D202" t="s">
        <v>21</v>
      </c>
      <c r="E202" t="s">
        <v>18</v>
      </c>
      <c r="F202">
        <v>80</v>
      </c>
      <c r="G202" s="9">
        <v>861</v>
      </c>
      <c r="H202" s="10">
        <v>3</v>
      </c>
      <c r="I202" s="10">
        <v>70</v>
      </c>
      <c r="J202" t="str">
        <f t="shared" si="12"/>
        <v>61+</v>
      </c>
      <c r="K202" t="str">
        <f t="shared" si="13"/>
        <v>Elderly</v>
      </c>
      <c r="L202" t="str">
        <f t="shared" si="14"/>
        <v>Low Cost</v>
      </c>
      <c r="M202" t="str">
        <f t="shared" si="15"/>
        <v>Good</v>
      </c>
    </row>
    <row r="203" spans="1:13" x14ac:dyDescent="0.35">
      <c r="A203" t="s">
        <v>239</v>
      </c>
      <c r="B203" t="s">
        <v>27</v>
      </c>
      <c r="C203" t="s">
        <v>28</v>
      </c>
      <c r="D203" t="s">
        <v>36</v>
      </c>
      <c r="E203" t="s">
        <v>22</v>
      </c>
      <c r="F203">
        <v>81</v>
      </c>
      <c r="G203" s="9">
        <v>820</v>
      </c>
      <c r="H203" s="10">
        <v>2</v>
      </c>
      <c r="I203" s="10">
        <v>87</v>
      </c>
      <c r="J203" t="str">
        <f t="shared" si="12"/>
        <v>61+</v>
      </c>
      <c r="K203" t="str">
        <f t="shared" si="13"/>
        <v>Elderly</v>
      </c>
      <c r="L203" t="str">
        <f t="shared" si="14"/>
        <v>Low Cost</v>
      </c>
      <c r="M203" t="str">
        <f t="shared" si="15"/>
        <v>Excellent</v>
      </c>
    </row>
    <row r="204" spans="1:13" x14ac:dyDescent="0.35">
      <c r="A204" t="s">
        <v>240</v>
      </c>
      <c r="B204" t="s">
        <v>20</v>
      </c>
      <c r="C204" t="s">
        <v>31</v>
      </c>
      <c r="D204" t="s">
        <v>25</v>
      </c>
      <c r="E204" t="s">
        <v>22</v>
      </c>
      <c r="F204">
        <v>60</v>
      </c>
      <c r="G204" s="9">
        <v>4702</v>
      </c>
      <c r="H204" s="10">
        <v>2</v>
      </c>
      <c r="I204" s="10">
        <v>53</v>
      </c>
      <c r="J204" t="str">
        <f t="shared" si="12"/>
        <v>41-60</v>
      </c>
      <c r="K204" t="str">
        <f t="shared" si="13"/>
        <v>Middle Age</v>
      </c>
      <c r="L204" t="str">
        <f t="shared" si="14"/>
        <v>Low Cost</v>
      </c>
      <c r="M204" t="str">
        <f t="shared" si="15"/>
        <v>Poor</v>
      </c>
    </row>
    <row r="205" spans="1:13" x14ac:dyDescent="0.35">
      <c r="A205" t="s">
        <v>241</v>
      </c>
      <c r="B205" t="s">
        <v>49</v>
      </c>
      <c r="C205" t="s">
        <v>31</v>
      </c>
      <c r="D205" t="s">
        <v>36</v>
      </c>
      <c r="E205" t="s">
        <v>18</v>
      </c>
      <c r="F205">
        <v>12</v>
      </c>
      <c r="G205" s="9">
        <v>6038</v>
      </c>
      <c r="H205" s="10">
        <v>10</v>
      </c>
      <c r="I205" s="10">
        <v>74</v>
      </c>
      <c r="J205" t="str">
        <f t="shared" si="12"/>
        <v>0-20</v>
      </c>
      <c r="K205" t="str">
        <f t="shared" si="13"/>
        <v>Child</v>
      </c>
      <c r="L205" t="str">
        <f t="shared" si="14"/>
        <v>Low Cost</v>
      </c>
      <c r="M205" t="str">
        <f t="shared" si="15"/>
        <v>Good</v>
      </c>
    </row>
    <row r="206" spans="1:13" x14ac:dyDescent="0.35">
      <c r="A206" t="s">
        <v>242</v>
      </c>
      <c r="B206" t="s">
        <v>30</v>
      </c>
      <c r="C206" t="s">
        <v>16</v>
      </c>
      <c r="D206" t="s">
        <v>39</v>
      </c>
      <c r="E206" t="s">
        <v>18</v>
      </c>
      <c r="F206">
        <v>74</v>
      </c>
      <c r="G206" s="9">
        <v>15679</v>
      </c>
      <c r="H206" s="10">
        <v>8</v>
      </c>
      <c r="I206" s="10">
        <v>70</v>
      </c>
      <c r="J206" t="str">
        <f t="shared" si="12"/>
        <v>61+</v>
      </c>
      <c r="K206" t="str">
        <f t="shared" si="13"/>
        <v>Elderly</v>
      </c>
      <c r="L206" t="str">
        <f t="shared" si="14"/>
        <v>High Cost</v>
      </c>
      <c r="M206" t="str">
        <f t="shared" si="15"/>
        <v>Good</v>
      </c>
    </row>
    <row r="207" spans="1:13" x14ac:dyDescent="0.35">
      <c r="A207" t="s">
        <v>243</v>
      </c>
      <c r="B207" t="s">
        <v>24</v>
      </c>
      <c r="C207" t="s">
        <v>28</v>
      </c>
      <c r="D207" t="s">
        <v>25</v>
      </c>
      <c r="E207" t="s">
        <v>22</v>
      </c>
      <c r="F207">
        <v>8</v>
      </c>
      <c r="G207" s="9">
        <v>1122</v>
      </c>
      <c r="H207" s="10">
        <v>1</v>
      </c>
      <c r="I207" s="10">
        <v>71</v>
      </c>
      <c r="J207" t="str">
        <f t="shared" si="12"/>
        <v>0-20</v>
      </c>
      <c r="K207" t="str">
        <f t="shared" si="13"/>
        <v>Child</v>
      </c>
      <c r="L207" t="str">
        <f t="shared" si="14"/>
        <v>Low Cost</v>
      </c>
      <c r="M207" t="str">
        <f t="shared" si="15"/>
        <v>Good</v>
      </c>
    </row>
    <row r="208" spans="1:13" x14ac:dyDescent="0.35">
      <c r="A208" t="s">
        <v>244</v>
      </c>
      <c r="B208" t="s">
        <v>15</v>
      </c>
      <c r="C208" t="s">
        <v>16</v>
      </c>
      <c r="D208" t="s">
        <v>25</v>
      </c>
      <c r="E208" t="s">
        <v>18</v>
      </c>
      <c r="F208">
        <v>6</v>
      </c>
      <c r="G208" s="9">
        <v>9059</v>
      </c>
      <c r="H208" s="10">
        <v>12</v>
      </c>
      <c r="I208" s="10">
        <v>78</v>
      </c>
      <c r="J208" t="str">
        <f t="shared" si="12"/>
        <v>0-20</v>
      </c>
      <c r="K208" t="str">
        <f t="shared" si="13"/>
        <v>Child</v>
      </c>
      <c r="L208" t="str">
        <f t="shared" si="14"/>
        <v>High Cost</v>
      </c>
      <c r="M208" t="str">
        <f t="shared" si="15"/>
        <v>Good</v>
      </c>
    </row>
    <row r="209" spans="1:13" x14ac:dyDescent="0.35">
      <c r="A209" t="s">
        <v>245</v>
      </c>
      <c r="B209" t="s">
        <v>24</v>
      </c>
      <c r="C209" t="s">
        <v>45</v>
      </c>
      <c r="D209" t="s">
        <v>34</v>
      </c>
      <c r="E209" t="s">
        <v>22</v>
      </c>
      <c r="F209">
        <v>37</v>
      </c>
      <c r="G209" s="9">
        <v>3673</v>
      </c>
      <c r="H209" s="10">
        <v>4</v>
      </c>
      <c r="I209" s="10">
        <v>99</v>
      </c>
      <c r="J209" t="str">
        <f t="shared" si="12"/>
        <v>21-40</v>
      </c>
      <c r="K209" t="str">
        <f t="shared" si="13"/>
        <v>Adult</v>
      </c>
      <c r="L209" t="str">
        <f t="shared" si="14"/>
        <v>Low Cost</v>
      </c>
      <c r="M209" t="str">
        <f t="shared" si="15"/>
        <v>Excellent</v>
      </c>
    </row>
    <row r="210" spans="1:13" x14ac:dyDescent="0.35">
      <c r="A210" t="s">
        <v>246</v>
      </c>
      <c r="B210" t="s">
        <v>49</v>
      </c>
      <c r="C210" t="s">
        <v>16</v>
      </c>
      <c r="D210" t="s">
        <v>34</v>
      </c>
      <c r="E210" t="s">
        <v>22</v>
      </c>
      <c r="F210">
        <v>13</v>
      </c>
      <c r="G210" s="9">
        <v>14141</v>
      </c>
      <c r="H210" s="10">
        <v>15</v>
      </c>
      <c r="I210" s="10">
        <v>74</v>
      </c>
      <c r="J210" t="str">
        <f t="shared" si="12"/>
        <v>0-20</v>
      </c>
      <c r="K210" t="str">
        <f t="shared" si="13"/>
        <v>Teenager</v>
      </c>
      <c r="L210" t="str">
        <f t="shared" si="14"/>
        <v>High Cost</v>
      </c>
      <c r="M210" t="str">
        <f t="shared" si="15"/>
        <v>Good</v>
      </c>
    </row>
    <row r="211" spans="1:13" x14ac:dyDescent="0.35">
      <c r="A211" t="s">
        <v>247</v>
      </c>
      <c r="B211" t="s">
        <v>49</v>
      </c>
      <c r="C211" t="s">
        <v>31</v>
      </c>
      <c r="D211" t="s">
        <v>21</v>
      </c>
      <c r="E211" t="s">
        <v>18</v>
      </c>
      <c r="F211">
        <v>43</v>
      </c>
      <c r="G211" s="9">
        <v>1667</v>
      </c>
      <c r="H211" s="10">
        <v>4</v>
      </c>
      <c r="I211" s="10">
        <v>72</v>
      </c>
      <c r="J211" t="str">
        <f t="shared" si="12"/>
        <v>41-60</v>
      </c>
      <c r="K211" t="str">
        <f t="shared" si="13"/>
        <v>Adult</v>
      </c>
      <c r="L211" t="str">
        <f t="shared" si="14"/>
        <v>Low Cost</v>
      </c>
      <c r="M211" t="str">
        <f t="shared" si="15"/>
        <v>Good</v>
      </c>
    </row>
    <row r="212" spans="1:13" x14ac:dyDescent="0.35">
      <c r="A212" t="s">
        <v>248</v>
      </c>
      <c r="B212" t="s">
        <v>49</v>
      </c>
      <c r="C212" t="s">
        <v>28</v>
      </c>
      <c r="D212" t="s">
        <v>47</v>
      </c>
      <c r="E212" t="s">
        <v>18</v>
      </c>
      <c r="F212">
        <v>11</v>
      </c>
      <c r="G212" s="9">
        <v>834</v>
      </c>
      <c r="H212" s="10">
        <v>3</v>
      </c>
      <c r="I212" s="10">
        <v>74</v>
      </c>
      <c r="J212" t="str">
        <f t="shared" si="12"/>
        <v>0-20</v>
      </c>
      <c r="K212" t="str">
        <f t="shared" si="13"/>
        <v>Child</v>
      </c>
      <c r="L212" t="str">
        <f t="shared" si="14"/>
        <v>Low Cost</v>
      </c>
      <c r="M212" t="str">
        <f t="shared" si="15"/>
        <v>Good</v>
      </c>
    </row>
    <row r="213" spans="1:13" x14ac:dyDescent="0.35">
      <c r="A213" t="s">
        <v>249</v>
      </c>
      <c r="B213" t="s">
        <v>15</v>
      </c>
      <c r="C213" t="s">
        <v>31</v>
      </c>
      <c r="D213" t="s">
        <v>47</v>
      </c>
      <c r="E213" t="s">
        <v>18</v>
      </c>
      <c r="F213">
        <v>88</v>
      </c>
      <c r="G213" s="9">
        <v>5312</v>
      </c>
      <c r="H213" s="10">
        <v>3</v>
      </c>
      <c r="I213" s="10">
        <v>91</v>
      </c>
      <c r="J213" t="str">
        <f t="shared" si="12"/>
        <v>61+</v>
      </c>
      <c r="K213" t="str">
        <f t="shared" si="13"/>
        <v>Elderly</v>
      </c>
      <c r="L213" t="str">
        <f t="shared" si="14"/>
        <v>Low Cost</v>
      </c>
      <c r="M213" t="str">
        <f t="shared" si="15"/>
        <v>Excellent</v>
      </c>
    </row>
    <row r="214" spans="1:13" x14ac:dyDescent="0.35">
      <c r="A214" t="s">
        <v>250</v>
      </c>
      <c r="B214" t="s">
        <v>15</v>
      </c>
      <c r="C214" t="s">
        <v>28</v>
      </c>
      <c r="D214" t="s">
        <v>25</v>
      </c>
      <c r="E214" t="s">
        <v>22</v>
      </c>
      <c r="F214">
        <v>47</v>
      </c>
      <c r="G214" s="9">
        <v>832</v>
      </c>
      <c r="H214" s="10">
        <v>1</v>
      </c>
      <c r="I214" s="10">
        <v>63</v>
      </c>
      <c r="J214" t="str">
        <f t="shared" si="12"/>
        <v>41-60</v>
      </c>
      <c r="K214" t="str">
        <f t="shared" si="13"/>
        <v>Middle Age</v>
      </c>
      <c r="L214" t="str">
        <f t="shared" si="14"/>
        <v>Low Cost</v>
      </c>
      <c r="M214" t="str">
        <f t="shared" si="15"/>
        <v>Good</v>
      </c>
    </row>
    <row r="215" spans="1:13" x14ac:dyDescent="0.35">
      <c r="A215" t="s">
        <v>251</v>
      </c>
      <c r="B215" t="s">
        <v>49</v>
      </c>
      <c r="C215" t="s">
        <v>28</v>
      </c>
      <c r="D215" t="s">
        <v>65</v>
      </c>
      <c r="E215" t="s">
        <v>22</v>
      </c>
      <c r="F215">
        <v>18</v>
      </c>
      <c r="G215" s="9">
        <v>517</v>
      </c>
      <c r="H215" s="10">
        <v>1</v>
      </c>
      <c r="I215" s="10">
        <v>68</v>
      </c>
      <c r="J215" t="str">
        <f t="shared" si="12"/>
        <v>0-20</v>
      </c>
      <c r="K215" t="str">
        <f t="shared" si="13"/>
        <v>Teenager</v>
      </c>
      <c r="L215" t="str">
        <f t="shared" si="14"/>
        <v>Low Cost</v>
      </c>
      <c r="M215" t="str">
        <f t="shared" si="15"/>
        <v>Good</v>
      </c>
    </row>
    <row r="216" spans="1:13" x14ac:dyDescent="0.35">
      <c r="A216" t="s">
        <v>252</v>
      </c>
      <c r="B216" t="s">
        <v>54</v>
      </c>
      <c r="C216" t="s">
        <v>16</v>
      </c>
      <c r="D216" t="s">
        <v>25</v>
      </c>
      <c r="E216" t="s">
        <v>18</v>
      </c>
      <c r="F216">
        <v>68</v>
      </c>
      <c r="G216" s="9">
        <v>5618</v>
      </c>
      <c r="H216" s="10">
        <v>15</v>
      </c>
      <c r="I216" s="10">
        <v>71</v>
      </c>
      <c r="J216" t="str">
        <f t="shared" si="12"/>
        <v>61+</v>
      </c>
      <c r="K216" t="str">
        <f t="shared" si="13"/>
        <v>Elderly</v>
      </c>
      <c r="L216" t="str">
        <f t="shared" si="14"/>
        <v>Low Cost</v>
      </c>
      <c r="M216" t="str">
        <f t="shared" si="15"/>
        <v>Good</v>
      </c>
    </row>
    <row r="217" spans="1:13" x14ac:dyDescent="0.35">
      <c r="A217" t="s">
        <v>253</v>
      </c>
      <c r="B217" t="s">
        <v>54</v>
      </c>
      <c r="C217" t="s">
        <v>45</v>
      </c>
      <c r="D217" t="s">
        <v>21</v>
      </c>
      <c r="E217" t="s">
        <v>22</v>
      </c>
      <c r="F217">
        <v>21</v>
      </c>
      <c r="G217" s="9">
        <v>1981</v>
      </c>
      <c r="H217" s="10">
        <v>5</v>
      </c>
      <c r="I217" s="10">
        <v>60</v>
      </c>
      <c r="J217" t="str">
        <f t="shared" si="12"/>
        <v>21-40</v>
      </c>
      <c r="K217" t="str">
        <f t="shared" si="13"/>
        <v>Youth</v>
      </c>
      <c r="L217" t="str">
        <f t="shared" si="14"/>
        <v>Low Cost</v>
      </c>
      <c r="M217" t="str">
        <f t="shared" si="15"/>
        <v>Good</v>
      </c>
    </row>
    <row r="218" spans="1:13" x14ac:dyDescent="0.35">
      <c r="A218" t="s">
        <v>254</v>
      </c>
      <c r="B218" t="s">
        <v>15</v>
      </c>
      <c r="C218" t="s">
        <v>28</v>
      </c>
      <c r="D218" t="s">
        <v>17</v>
      </c>
      <c r="E218" t="s">
        <v>22</v>
      </c>
      <c r="F218">
        <v>87</v>
      </c>
      <c r="G218" s="9">
        <v>1673</v>
      </c>
      <c r="H218" s="10">
        <v>1</v>
      </c>
      <c r="I218" s="10">
        <v>78</v>
      </c>
      <c r="J218" t="str">
        <f t="shared" si="12"/>
        <v>61+</v>
      </c>
      <c r="K218" t="str">
        <f t="shared" si="13"/>
        <v>Elderly</v>
      </c>
      <c r="L218" t="str">
        <f t="shared" si="14"/>
        <v>Low Cost</v>
      </c>
      <c r="M218" t="str">
        <f t="shared" si="15"/>
        <v>Good</v>
      </c>
    </row>
    <row r="219" spans="1:13" x14ac:dyDescent="0.35">
      <c r="A219" t="s">
        <v>255</v>
      </c>
      <c r="B219" t="s">
        <v>24</v>
      </c>
      <c r="C219" t="s">
        <v>31</v>
      </c>
      <c r="D219" t="s">
        <v>39</v>
      </c>
      <c r="E219" t="s">
        <v>22</v>
      </c>
      <c r="F219">
        <v>31</v>
      </c>
      <c r="G219" s="9">
        <v>3535</v>
      </c>
      <c r="H219" s="10">
        <v>9</v>
      </c>
      <c r="I219" s="10">
        <v>62</v>
      </c>
      <c r="J219" t="str">
        <f t="shared" si="12"/>
        <v>21-40</v>
      </c>
      <c r="K219" t="str">
        <f t="shared" si="13"/>
        <v>Adult</v>
      </c>
      <c r="L219" t="str">
        <f t="shared" si="14"/>
        <v>Low Cost</v>
      </c>
      <c r="M219" t="str">
        <f t="shared" si="15"/>
        <v>Good</v>
      </c>
    </row>
    <row r="220" spans="1:13" x14ac:dyDescent="0.35">
      <c r="A220" t="s">
        <v>256</v>
      </c>
      <c r="B220" t="s">
        <v>49</v>
      </c>
      <c r="C220" t="s">
        <v>28</v>
      </c>
      <c r="D220" t="s">
        <v>39</v>
      </c>
      <c r="E220" t="s">
        <v>18</v>
      </c>
      <c r="F220">
        <v>49</v>
      </c>
      <c r="G220" s="9">
        <v>1229</v>
      </c>
      <c r="H220" s="10">
        <v>3</v>
      </c>
      <c r="I220" s="10">
        <v>76</v>
      </c>
      <c r="J220" t="str">
        <f t="shared" si="12"/>
        <v>41-60</v>
      </c>
      <c r="K220" t="str">
        <f t="shared" si="13"/>
        <v>Middle Age</v>
      </c>
      <c r="L220" t="str">
        <f t="shared" si="14"/>
        <v>Low Cost</v>
      </c>
      <c r="M220" t="str">
        <f t="shared" si="15"/>
        <v>Good</v>
      </c>
    </row>
    <row r="221" spans="1:13" x14ac:dyDescent="0.35">
      <c r="A221" t="s">
        <v>257</v>
      </c>
      <c r="B221" t="s">
        <v>27</v>
      </c>
      <c r="C221" t="s">
        <v>45</v>
      </c>
      <c r="D221" t="s">
        <v>21</v>
      </c>
      <c r="E221" t="s">
        <v>22</v>
      </c>
      <c r="F221">
        <v>33</v>
      </c>
      <c r="G221" s="9">
        <v>927</v>
      </c>
      <c r="H221" s="10">
        <v>4</v>
      </c>
      <c r="I221" s="10">
        <v>73</v>
      </c>
      <c r="J221" t="str">
        <f t="shared" si="12"/>
        <v>21-40</v>
      </c>
      <c r="K221" t="str">
        <f t="shared" si="13"/>
        <v>Adult</v>
      </c>
      <c r="L221" t="str">
        <f t="shared" si="14"/>
        <v>Low Cost</v>
      </c>
      <c r="M221" t="str">
        <f t="shared" si="15"/>
        <v>Good</v>
      </c>
    </row>
    <row r="222" spans="1:13" x14ac:dyDescent="0.35">
      <c r="A222" t="s">
        <v>258</v>
      </c>
      <c r="B222" t="s">
        <v>24</v>
      </c>
      <c r="C222" t="s">
        <v>16</v>
      </c>
      <c r="D222" t="s">
        <v>25</v>
      </c>
      <c r="E222" t="s">
        <v>18</v>
      </c>
      <c r="F222">
        <v>37</v>
      </c>
      <c r="G222" s="9">
        <v>6374</v>
      </c>
      <c r="H222" s="10">
        <v>7</v>
      </c>
      <c r="I222" s="10">
        <v>67</v>
      </c>
      <c r="J222" t="str">
        <f t="shared" si="12"/>
        <v>21-40</v>
      </c>
      <c r="K222" t="str">
        <f t="shared" si="13"/>
        <v>Adult</v>
      </c>
      <c r="L222" t="str">
        <f t="shared" si="14"/>
        <v>Low Cost</v>
      </c>
      <c r="M222" t="str">
        <f t="shared" si="15"/>
        <v>Good</v>
      </c>
    </row>
    <row r="223" spans="1:13" x14ac:dyDescent="0.35">
      <c r="A223" t="s">
        <v>259</v>
      </c>
      <c r="B223" t="s">
        <v>30</v>
      </c>
      <c r="C223" t="s">
        <v>45</v>
      </c>
      <c r="D223" t="s">
        <v>52</v>
      </c>
      <c r="E223" t="s">
        <v>22</v>
      </c>
      <c r="F223">
        <v>29</v>
      </c>
      <c r="G223" s="9">
        <v>4195</v>
      </c>
      <c r="H223" s="10">
        <v>3</v>
      </c>
      <c r="I223" s="10">
        <v>51</v>
      </c>
      <c r="J223" t="str">
        <f t="shared" si="12"/>
        <v>21-40</v>
      </c>
      <c r="K223" t="str">
        <f t="shared" si="13"/>
        <v>Youth</v>
      </c>
      <c r="L223" t="str">
        <f t="shared" si="14"/>
        <v>Low Cost</v>
      </c>
      <c r="M223" t="str">
        <f t="shared" si="15"/>
        <v>Poor</v>
      </c>
    </row>
    <row r="224" spans="1:13" x14ac:dyDescent="0.35">
      <c r="A224" t="s">
        <v>260</v>
      </c>
      <c r="B224" t="s">
        <v>30</v>
      </c>
      <c r="C224" t="s">
        <v>16</v>
      </c>
      <c r="D224" t="s">
        <v>52</v>
      </c>
      <c r="E224" t="s">
        <v>18</v>
      </c>
      <c r="F224">
        <v>31</v>
      </c>
      <c r="G224" s="9">
        <v>11326</v>
      </c>
      <c r="H224" s="10">
        <v>6</v>
      </c>
      <c r="I224" s="10">
        <v>73</v>
      </c>
      <c r="J224" t="str">
        <f t="shared" si="12"/>
        <v>21-40</v>
      </c>
      <c r="K224" t="str">
        <f t="shared" si="13"/>
        <v>Adult</v>
      </c>
      <c r="L224" t="str">
        <f t="shared" si="14"/>
        <v>High Cost</v>
      </c>
      <c r="M224" t="str">
        <f t="shared" si="15"/>
        <v>Good</v>
      </c>
    </row>
    <row r="225" spans="1:13" x14ac:dyDescent="0.35">
      <c r="A225" t="s">
        <v>261</v>
      </c>
      <c r="B225" t="s">
        <v>27</v>
      </c>
      <c r="C225" t="s">
        <v>16</v>
      </c>
      <c r="D225" t="s">
        <v>34</v>
      </c>
      <c r="E225" t="s">
        <v>18</v>
      </c>
      <c r="F225">
        <v>84</v>
      </c>
      <c r="G225" s="9">
        <v>10493</v>
      </c>
      <c r="H225" s="10">
        <v>7</v>
      </c>
      <c r="I225" s="10">
        <v>58</v>
      </c>
      <c r="J225" t="str">
        <f t="shared" si="12"/>
        <v>61+</v>
      </c>
      <c r="K225" t="str">
        <f t="shared" si="13"/>
        <v>Elderly</v>
      </c>
      <c r="L225" t="str">
        <f t="shared" si="14"/>
        <v>High Cost</v>
      </c>
      <c r="M225" t="str">
        <f t="shared" si="15"/>
        <v>Poor</v>
      </c>
    </row>
    <row r="226" spans="1:13" x14ac:dyDescent="0.35">
      <c r="A226" t="s">
        <v>262</v>
      </c>
      <c r="B226" t="s">
        <v>20</v>
      </c>
      <c r="C226" t="s">
        <v>31</v>
      </c>
      <c r="D226" t="s">
        <v>39</v>
      </c>
      <c r="E226" t="s">
        <v>18</v>
      </c>
      <c r="F226">
        <v>18</v>
      </c>
      <c r="G226" s="9">
        <v>6779</v>
      </c>
      <c r="H226" s="10">
        <v>9</v>
      </c>
      <c r="I226" s="10">
        <v>78</v>
      </c>
      <c r="J226" t="str">
        <f t="shared" si="12"/>
        <v>0-20</v>
      </c>
      <c r="K226" t="str">
        <f t="shared" si="13"/>
        <v>Teenager</v>
      </c>
      <c r="L226" t="str">
        <f t="shared" si="14"/>
        <v>Low Cost</v>
      </c>
      <c r="M226" t="str">
        <f t="shared" si="15"/>
        <v>Good</v>
      </c>
    </row>
    <row r="227" spans="1:13" x14ac:dyDescent="0.35">
      <c r="A227" t="s">
        <v>263</v>
      </c>
      <c r="B227" t="s">
        <v>24</v>
      </c>
      <c r="C227" t="s">
        <v>16</v>
      </c>
      <c r="D227" t="s">
        <v>36</v>
      </c>
      <c r="E227" t="s">
        <v>22</v>
      </c>
      <c r="F227">
        <v>28</v>
      </c>
      <c r="G227" s="9">
        <v>18680</v>
      </c>
      <c r="H227" s="10">
        <v>7</v>
      </c>
      <c r="I227" s="10">
        <v>85</v>
      </c>
      <c r="J227" t="str">
        <f t="shared" si="12"/>
        <v>21-40</v>
      </c>
      <c r="K227" t="str">
        <f t="shared" si="13"/>
        <v>Youth</v>
      </c>
      <c r="L227" t="str">
        <f t="shared" si="14"/>
        <v>High Cost</v>
      </c>
      <c r="M227" t="str">
        <f t="shared" si="15"/>
        <v>Excellent</v>
      </c>
    </row>
    <row r="228" spans="1:13" x14ac:dyDescent="0.35">
      <c r="A228" t="s">
        <v>264</v>
      </c>
      <c r="B228" t="s">
        <v>15</v>
      </c>
      <c r="C228" t="s">
        <v>28</v>
      </c>
      <c r="D228" t="s">
        <v>36</v>
      </c>
      <c r="E228" t="s">
        <v>18</v>
      </c>
      <c r="F228">
        <v>31</v>
      </c>
      <c r="G228" s="9">
        <v>816</v>
      </c>
      <c r="H228" s="10">
        <v>1</v>
      </c>
      <c r="I228" s="10">
        <v>53</v>
      </c>
      <c r="J228" t="str">
        <f t="shared" si="12"/>
        <v>21-40</v>
      </c>
      <c r="K228" t="str">
        <f t="shared" si="13"/>
        <v>Adult</v>
      </c>
      <c r="L228" t="str">
        <f t="shared" si="14"/>
        <v>Low Cost</v>
      </c>
      <c r="M228" t="str">
        <f t="shared" si="15"/>
        <v>Poor</v>
      </c>
    </row>
    <row r="229" spans="1:13" x14ac:dyDescent="0.35">
      <c r="A229" t="s">
        <v>265</v>
      </c>
      <c r="B229" t="s">
        <v>27</v>
      </c>
      <c r="C229" t="s">
        <v>28</v>
      </c>
      <c r="D229" t="s">
        <v>21</v>
      </c>
      <c r="E229" t="s">
        <v>22</v>
      </c>
      <c r="F229">
        <v>15</v>
      </c>
      <c r="G229" s="9">
        <v>1913</v>
      </c>
      <c r="H229" s="10">
        <v>2</v>
      </c>
      <c r="I229" s="10">
        <v>88</v>
      </c>
      <c r="J229" t="str">
        <f t="shared" si="12"/>
        <v>0-20</v>
      </c>
      <c r="K229" t="str">
        <f t="shared" si="13"/>
        <v>Teenager</v>
      </c>
      <c r="L229" t="str">
        <f t="shared" si="14"/>
        <v>Low Cost</v>
      </c>
      <c r="M229" t="str">
        <f t="shared" si="15"/>
        <v>Excellent</v>
      </c>
    </row>
    <row r="230" spans="1:13" x14ac:dyDescent="0.35">
      <c r="A230" t="s">
        <v>266</v>
      </c>
      <c r="B230" t="s">
        <v>24</v>
      </c>
      <c r="C230" t="s">
        <v>16</v>
      </c>
      <c r="D230" t="s">
        <v>25</v>
      </c>
      <c r="E230" t="s">
        <v>18</v>
      </c>
      <c r="F230">
        <v>19</v>
      </c>
      <c r="G230" s="9">
        <v>9772</v>
      </c>
      <c r="H230" s="10">
        <v>11</v>
      </c>
      <c r="I230" s="10">
        <v>50</v>
      </c>
      <c r="J230" t="str">
        <f t="shared" si="12"/>
        <v>0-20</v>
      </c>
      <c r="K230" t="str">
        <f t="shared" si="13"/>
        <v>Teenager</v>
      </c>
      <c r="L230" t="str">
        <f t="shared" si="14"/>
        <v>High Cost</v>
      </c>
      <c r="M230" t="str">
        <f t="shared" si="15"/>
        <v>Poor</v>
      </c>
    </row>
    <row r="231" spans="1:13" x14ac:dyDescent="0.35">
      <c r="A231" t="s">
        <v>267</v>
      </c>
      <c r="B231" t="s">
        <v>24</v>
      </c>
      <c r="C231" t="s">
        <v>31</v>
      </c>
      <c r="D231" t="s">
        <v>65</v>
      </c>
      <c r="E231" t="s">
        <v>18</v>
      </c>
      <c r="F231">
        <v>24</v>
      </c>
      <c r="G231" s="9">
        <v>6442</v>
      </c>
      <c r="H231" s="10">
        <v>3</v>
      </c>
      <c r="I231" s="10">
        <v>83</v>
      </c>
      <c r="J231" t="str">
        <f t="shared" si="12"/>
        <v>21-40</v>
      </c>
      <c r="K231" t="str">
        <f t="shared" si="13"/>
        <v>Youth</v>
      </c>
      <c r="L231" t="str">
        <f t="shared" si="14"/>
        <v>Low Cost</v>
      </c>
      <c r="M231" t="str">
        <f t="shared" si="15"/>
        <v>Excellent</v>
      </c>
    </row>
    <row r="232" spans="1:13" x14ac:dyDescent="0.35">
      <c r="A232" t="s">
        <v>268</v>
      </c>
      <c r="B232" t="s">
        <v>49</v>
      </c>
      <c r="C232" t="s">
        <v>16</v>
      </c>
      <c r="D232" t="s">
        <v>25</v>
      </c>
      <c r="E232" t="s">
        <v>18</v>
      </c>
      <c r="F232">
        <v>65</v>
      </c>
      <c r="G232" s="9">
        <v>14079</v>
      </c>
      <c r="H232" s="10">
        <v>5</v>
      </c>
      <c r="I232" s="10">
        <v>74</v>
      </c>
      <c r="J232" t="str">
        <f t="shared" si="12"/>
        <v>61+</v>
      </c>
      <c r="K232" t="str">
        <f t="shared" si="13"/>
        <v>Elderly</v>
      </c>
      <c r="L232" t="str">
        <f t="shared" si="14"/>
        <v>High Cost</v>
      </c>
      <c r="M232" t="str">
        <f t="shared" si="15"/>
        <v>Good</v>
      </c>
    </row>
    <row r="233" spans="1:13" x14ac:dyDescent="0.35">
      <c r="A233" t="s">
        <v>269</v>
      </c>
      <c r="B233" t="s">
        <v>54</v>
      </c>
      <c r="C233" t="s">
        <v>28</v>
      </c>
      <c r="D233" t="s">
        <v>17</v>
      </c>
      <c r="E233" t="s">
        <v>18</v>
      </c>
      <c r="F233">
        <v>48</v>
      </c>
      <c r="G233" s="9">
        <v>719</v>
      </c>
      <c r="H233" s="10">
        <v>3</v>
      </c>
      <c r="I233" s="10">
        <v>51</v>
      </c>
      <c r="J233" t="str">
        <f t="shared" si="12"/>
        <v>41-60</v>
      </c>
      <c r="K233" t="str">
        <f t="shared" si="13"/>
        <v>Middle Age</v>
      </c>
      <c r="L233" t="str">
        <f t="shared" si="14"/>
        <v>Low Cost</v>
      </c>
      <c r="M233" t="str">
        <f t="shared" si="15"/>
        <v>Poor</v>
      </c>
    </row>
    <row r="234" spans="1:13" x14ac:dyDescent="0.35">
      <c r="A234" t="s">
        <v>270</v>
      </c>
      <c r="B234" t="s">
        <v>49</v>
      </c>
      <c r="C234" t="s">
        <v>16</v>
      </c>
      <c r="D234" t="s">
        <v>34</v>
      </c>
      <c r="E234" t="s">
        <v>22</v>
      </c>
      <c r="F234">
        <v>85</v>
      </c>
      <c r="G234" s="9">
        <v>15293</v>
      </c>
      <c r="H234" s="10">
        <v>6</v>
      </c>
      <c r="I234" s="10">
        <v>99</v>
      </c>
      <c r="J234" t="str">
        <f t="shared" si="12"/>
        <v>61+</v>
      </c>
      <c r="K234" t="str">
        <f t="shared" si="13"/>
        <v>Elderly</v>
      </c>
      <c r="L234" t="str">
        <f t="shared" si="14"/>
        <v>High Cost</v>
      </c>
      <c r="M234" t="str">
        <f t="shared" si="15"/>
        <v>Excellent</v>
      </c>
    </row>
    <row r="235" spans="1:13" x14ac:dyDescent="0.35">
      <c r="A235" t="s">
        <v>271</v>
      </c>
      <c r="B235" t="s">
        <v>24</v>
      </c>
      <c r="C235" t="s">
        <v>31</v>
      </c>
      <c r="D235" t="s">
        <v>47</v>
      </c>
      <c r="E235" t="s">
        <v>22</v>
      </c>
      <c r="F235">
        <v>70</v>
      </c>
      <c r="G235" s="9">
        <v>3773</v>
      </c>
      <c r="H235" s="10">
        <v>4</v>
      </c>
      <c r="I235" s="10">
        <v>99</v>
      </c>
      <c r="J235" t="str">
        <f t="shared" si="12"/>
        <v>61+</v>
      </c>
      <c r="K235" t="str">
        <f t="shared" si="13"/>
        <v>Elderly</v>
      </c>
      <c r="L235" t="str">
        <f t="shared" si="14"/>
        <v>Low Cost</v>
      </c>
      <c r="M235" t="str">
        <f t="shared" si="15"/>
        <v>Excellent</v>
      </c>
    </row>
    <row r="236" spans="1:13" x14ac:dyDescent="0.35">
      <c r="A236" t="s">
        <v>272</v>
      </c>
      <c r="B236" t="s">
        <v>15</v>
      </c>
      <c r="C236" t="s">
        <v>28</v>
      </c>
      <c r="D236" t="s">
        <v>39</v>
      </c>
      <c r="E236" t="s">
        <v>18</v>
      </c>
      <c r="F236">
        <v>18</v>
      </c>
      <c r="G236" s="9">
        <v>329</v>
      </c>
      <c r="H236" s="10">
        <v>3</v>
      </c>
      <c r="I236" s="10">
        <v>99</v>
      </c>
      <c r="J236" t="str">
        <f t="shared" si="12"/>
        <v>0-20</v>
      </c>
      <c r="K236" t="str">
        <f t="shared" si="13"/>
        <v>Teenager</v>
      </c>
      <c r="L236" t="str">
        <f t="shared" si="14"/>
        <v>Low Cost</v>
      </c>
      <c r="M236" t="str">
        <f t="shared" si="15"/>
        <v>Excellent</v>
      </c>
    </row>
    <row r="237" spans="1:13" x14ac:dyDescent="0.35">
      <c r="A237" t="s">
        <v>273</v>
      </c>
      <c r="B237" t="s">
        <v>30</v>
      </c>
      <c r="C237" t="s">
        <v>16</v>
      </c>
      <c r="D237" t="s">
        <v>32</v>
      </c>
      <c r="E237" t="s">
        <v>22</v>
      </c>
      <c r="F237">
        <v>26</v>
      </c>
      <c r="G237" s="9">
        <v>19512</v>
      </c>
      <c r="H237" s="10">
        <v>5</v>
      </c>
      <c r="I237" s="10">
        <v>70</v>
      </c>
      <c r="J237" t="str">
        <f t="shared" si="12"/>
        <v>21-40</v>
      </c>
      <c r="K237" t="str">
        <f t="shared" si="13"/>
        <v>Youth</v>
      </c>
      <c r="L237" t="str">
        <f t="shared" si="14"/>
        <v>High Cost</v>
      </c>
      <c r="M237" t="str">
        <f t="shared" si="15"/>
        <v>Good</v>
      </c>
    </row>
    <row r="238" spans="1:13" x14ac:dyDescent="0.35">
      <c r="A238" t="s">
        <v>274</v>
      </c>
      <c r="B238" t="s">
        <v>49</v>
      </c>
      <c r="C238" t="s">
        <v>28</v>
      </c>
      <c r="D238" t="s">
        <v>25</v>
      </c>
      <c r="E238" t="s">
        <v>22</v>
      </c>
      <c r="F238">
        <v>5</v>
      </c>
      <c r="G238" s="9">
        <v>1742</v>
      </c>
      <c r="H238" s="10">
        <v>3</v>
      </c>
      <c r="I238" s="10">
        <v>62</v>
      </c>
      <c r="J238" t="str">
        <f t="shared" si="12"/>
        <v>0-20</v>
      </c>
      <c r="K238" t="str">
        <f t="shared" si="13"/>
        <v>Infant</v>
      </c>
      <c r="L238" t="str">
        <f t="shared" si="14"/>
        <v>Low Cost</v>
      </c>
      <c r="M238" t="str">
        <f t="shared" si="15"/>
        <v>Good</v>
      </c>
    </row>
    <row r="239" spans="1:13" x14ac:dyDescent="0.35">
      <c r="A239" t="s">
        <v>275</v>
      </c>
      <c r="B239" t="s">
        <v>49</v>
      </c>
      <c r="C239" t="s">
        <v>31</v>
      </c>
      <c r="D239" t="s">
        <v>17</v>
      </c>
      <c r="E239" t="s">
        <v>18</v>
      </c>
      <c r="F239">
        <v>43</v>
      </c>
      <c r="G239" s="9">
        <v>3238</v>
      </c>
      <c r="H239" s="10">
        <v>3</v>
      </c>
      <c r="I239" s="10">
        <v>73</v>
      </c>
      <c r="J239" t="str">
        <f t="shared" si="12"/>
        <v>41-60</v>
      </c>
      <c r="K239" t="str">
        <f t="shared" si="13"/>
        <v>Adult</v>
      </c>
      <c r="L239" t="str">
        <f t="shared" si="14"/>
        <v>Low Cost</v>
      </c>
      <c r="M239" t="str">
        <f t="shared" si="15"/>
        <v>Good</v>
      </c>
    </row>
    <row r="240" spans="1:13" x14ac:dyDescent="0.35">
      <c r="A240" t="s">
        <v>276</v>
      </c>
      <c r="B240" t="s">
        <v>30</v>
      </c>
      <c r="C240" t="s">
        <v>28</v>
      </c>
      <c r="D240" t="s">
        <v>39</v>
      </c>
      <c r="E240" t="s">
        <v>18</v>
      </c>
      <c r="F240">
        <v>50</v>
      </c>
      <c r="G240" s="9">
        <v>894</v>
      </c>
      <c r="H240" s="10">
        <v>1</v>
      </c>
      <c r="I240" s="10">
        <v>81</v>
      </c>
      <c r="J240" t="str">
        <f t="shared" si="12"/>
        <v>41-60</v>
      </c>
      <c r="K240" t="str">
        <f t="shared" si="13"/>
        <v>Middle Age</v>
      </c>
      <c r="L240" t="str">
        <f t="shared" si="14"/>
        <v>Low Cost</v>
      </c>
      <c r="M240" t="str">
        <f t="shared" si="15"/>
        <v>Excellent</v>
      </c>
    </row>
    <row r="241" spans="1:13" x14ac:dyDescent="0.35">
      <c r="A241" t="s">
        <v>277</v>
      </c>
      <c r="B241" t="s">
        <v>15</v>
      </c>
      <c r="C241" t="s">
        <v>28</v>
      </c>
      <c r="D241" t="s">
        <v>34</v>
      </c>
      <c r="E241" t="s">
        <v>18</v>
      </c>
      <c r="F241">
        <v>67</v>
      </c>
      <c r="G241" s="9">
        <v>746</v>
      </c>
      <c r="H241" s="10">
        <v>1</v>
      </c>
      <c r="I241" s="10">
        <v>96</v>
      </c>
      <c r="J241" t="str">
        <f t="shared" si="12"/>
        <v>61+</v>
      </c>
      <c r="K241" t="str">
        <f t="shared" si="13"/>
        <v>Elderly</v>
      </c>
      <c r="L241" t="str">
        <f t="shared" si="14"/>
        <v>Low Cost</v>
      </c>
      <c r="M241" t="str">
        <f t="shared" si="15"/>
        <v>Excellent</v>
      </c>
    </row>
    <row r="242" spans="1:13" x14ac:dyDescent="0.35">
      <c r="A242" t="s">
        <v>278</v>
      </c>
      <c r="B242" t="s">
        <v>30</v>
      </c>
      <c r="C242" t="s">
        <v>16</v>
      </c>
      <c r="D242" t="s">
        <v>52</v>
      </c>
      <c r="E242" t="s">
        <v>18</v>
      </c>
      <c r="F242">
        <v>24</v>
      </c>
      <c r="G242" s="9">
        <v>13937</v>
      </c>
      <c r="H242" s="10">
        <v>9</v>
      </c>
      <c r="I242" s="10">
        <v>70</v>
      </c>
      <c r="J242" t="str">
        <f t="shared" si="12"/>
        <v>21-40</v>
      </c>
      <c r="K242" t="str">
        <f t="shared" si="13"/>
        <v>Youth</v>
      </c>
      <c r="L242" t="str">
        <f t="shared" si="14"/>
        <v>High Cost</v>
      </c>
      <c r="M242" t="str">
        <f t="shared" si="15"/>
        <v>Good</v>
      </c>
    </row>
    <row r="243" spans="1:13" x14ac:dyDescent="0.35">
      <c r="A243" t="s">
        <v>279</v>
      </c>
      <c r="B243" t="s">
        <v>20</v>
      </c>
      <c r="C243" t="s">
        <v>16</v>
      </c>
      <c r="D243" t="s">
        <v>34</v>
      </c>
      <c r="E243" t="s">
        <v>18</v>
      </c>
      <c r="F243">
        <v>40</v>
      </c>
      <c r="G243" s="9">
        <v>12305</v>
      </c>
      <c r="H243" s="10">
        <v>14</v>
      </c>
      <c r="I243" s="10">
        <v>95</v>
      </c>
      <c r="J243" t="str">
        <f t="shared" si="12"/>
        <v>21-40</v>
      </c>
      <c r="K243" t="str">
        <f t="shared" si="13"/>
        <v>Adult</v>
      </c>
      <c r="L243" t="str">
        <f t="shared" si="14"/>
        <v>High Cost</v>
      </c>
      <c r="M243" t="str">
        <f t="shared" si="15"/>
        <v>Excellent</v>
      </c>
    </row>
    <row r="244" spans="1:13" x14ac:dyDescent="0.35">
      <c r="A244" t="s">
        <v>280</v>
      </c>
      <c r="B244" t="s">
        <v>30</v>
      </c>
      <c r="C244" t="s">
        <v>45</v>
      </c>
      <c r="D244" t="s">
        <v>39</v>
      </c>
      <c r="E244" t="s">
        <v>22</v>
      </c>
      <c r="F244">
        <v>6</v>
      </c>
      <c r="G244" s="9">
        <v>3388</v>
      </c>
      <c r="H244" s="10">
        <v>5</v>
      </c>
      <c r="I244" s="10">
        <v>77</v>
      </c>
      <c r="J244" t="str">
        <f t="shared" si="12"/>
        <v>0-20</v>
      </c>
      <c r="K244" t="str">
        <f t="shared" si="13"/>
        <v>Child</v>
      </c>
      <c r="L244" t="str">
        <f t="shared" si="14"/>
        <v>Low Cost</v>
      </c>
      <c r="M244" t="str">
        <f t="shared" si="15"/>
        <v>Good</v>
      </c>
    </row>
    <row r="245" spans="1:13" x14ac:dyDescent="0.35">
      <c r="A245" t="s">
        <v>281</v>
      </c>
      <c r="B245" t="s">
        <v>49</v>
      </c>
      <c r="C245" t="s">
        <v>16</v>
      </c>
      <c r="D245" t="s">
        <v>36</v>
      </c>
      <c r="E245" t="s">
        <v>18</v>
      </c>
      <c r="F245">
        <v>52</v>
      </c>
      <c r="G245" s="9">
        <v>10952</v>
      </c>
      <c r="H245" s="10">
        <v>13</v>
      </c>
      <c r="I245" s="10">
        <v>97</v>
      </c>
      <c r="J245" t="str">
        <f t="shared" si="12"/>
        <v>41-60</v>
      </c>
      <c r="K245" t="str">
        <f t="shared" si="13"/>
        <v>Middle Age</v>
      </c>
      <c r="L245" t="str">
        <f t="shared" si="14"/>
        <v>High Cost</v>
      </c>
      <c r="M245" t="str">
        <f t="shared" si="15"/>
        <v>Excellent</v>
      </c>
    </row>
    <row r="246" spans="1:13" x14ac:dyDescent="0.35">
      <c r="A246" t="s">
        <v>282</v>
      </c>
      <c r="B246" t="s">
        <v>15</v>
      </c>
      <c r="C246" t="s">
        <v>45</v>
      </c>
      <c r="D246" t="s">
        <v>17</v>
      </c>
      <c r="E246" t="s">
        <v>22</v>
      </c>
      <c r="F246">
        <v>78</v>
      </c>
      <c r="G246" s="9">
        <v>4089</v>
      </c>
      <c r="H246" s="10">
        <v>1</v>
      </c>
      <c r="I246" s="10">
        <v>58</v>
      </c>
      <c r="J246" t="str">
        <f t="shared" si="12"/>
        <v>61+</v>
      </c>
      <c r="K246" t="str">
        <f t="shared" si="13"/>
        <v>Elderly</v>
      </c>
      <c r="L246" t="str">
        <f t="shared" si="14"/>
        <v>Low Cost</v>
      </c>
      <c r="M246" t="str">
        <f t="shared" si="15"/>
        <v>Poor</v>
      </c>
    </row>
    <row r="247" spans="1:13" x14ac:dyDescent="0.35">
      <c r="A247" t="s">
        <v>283</v>
      </c>
      <c r="B247" t="s">
        <v>20</v>
      </c>
      <c r="C247" t="s">
        <v>45</v>
      </c>
      <c r="D247" t="s">
        <v>34</v>
      </c>
      <c r="E247" t="s">
        <v>22</v>
      </c>
      <c r="F247">
        <v>73</v>
      </c>
      <c r="G247" s="9">
        <v>765</v>
      </c>
      <c r="H247" s="10">
        <v>5</v>
      </c>
      <c r="I247" s="10">
        <v>59</v>
      </c>
      <c r="J247" t="str">
        <f t="shared" si="12"/>
        <v>61+</v>
      </c>
      <c r="K247" t="str">
        <f t="shared" si="13"/>
        <v>Elderly</v>
      </c>
      <c r="L247" t="str">
        <f t="shared" si="14"/>
        <v>Low Cost</v>
      </c>
      <c r="M247" t="str">
        <f t="shared" si="15"/>
        <v>Poor</v>
      </c>
    </row>
    <row r="248" spans="1:13" x14ac:dyDescent="0.35">
      <c r="A248" t="s">
        <v>284</v>
      </c>
      <c r="B248" t="s">
        <v>15</v>
      </c>
      <c r="C248" t="s">
        <v>28</v>
      </c>
      <c r="D248" t="s">
        <v>34</v>
      </c>
      <c r="E248" t="s">
        <v>22</v>
      </c>
      <c r="F248">
        <v>10</v>
      </c>
      <c r="G248" s="9">
        <v>1375</v>
      </c>
      <c r="H248" s="10">
        <v>1</v>
      </c>
      <c r="I248" s="10">
        <v>83</v>
      </c>
      <c r="J248" t="str">
        <f t="shared" si="12"/>
        <v>0-20</v>
      </c>
      <c r="K248" t="str">
        <f t="shared" si="13"/>
        <v>Child</v>
      </c>
      <c r="L248" t="str">
        <f t="shared" si="14"/>
        <v>Low Cost</v>
      </c>
      <c r="M248" t="str">
        <f t="shared" si="15"/>
        <v>Excellent</v>
      </c>
    </row>
    <row r="249" spans="1:13" x14ac:dyDescent="0.35">
      <c r="A249" t="s">
        <v>285</v>
      </c>
      <c r="B249" t="s">
        <v>49</v>
      </c>
      <c r="C249" t="s">
        <v>28</v>
      </c>
      <c r="D249" t="s">
        <v>34</v>
      </c>
      <c r="E249" t="s">
        <v>18</v>
      </c>
      <c r="F249">
        <v>32</v>
      </c>
      <c r="G249" s="9">
        <v>432</v>
      </c>
      <c r="H249" s="10">
        <v>1</v>
      </c>
      <c r="I249" s="10">
        <v>97</v>
      </c>
      <c r="J249" t="str">
        <f t="shared" si="12"/>
        <v>21-40</v>
      </c>
      <c r="K249" t="str">
        <f t="shared" si="13"/>
        <v>Adult</v>
      </c>
      <c r="L249" t="str">
        <f t="shared" si="14"/>
        <v>Low Cost</v>
      </c>
      <c r="M249" t="str">
        <f t="shared" si="15"/>
        <v>Excellent</v>
      </c>
    </row>
    <row r="250" spans="1:13" x14ac:dyDescent="0.35">
      <c r="A250" t="s">
        <v>286</v>
      </c>
      <c r="B250" t="s">
        <v>27</v>
      </c>
      <c r="C250" t="s">
        <v>28</v>
      </c>
      <c r="D250" t="s">
        <v>25</v>
      </c>
      <c r="E250" t="s">
        <v>22</v>
      </c>
      <c r="F250">
        <v>72</v>
      </c>
      <c r="G250" s="9">
        <v>441</v>
      </c>
      <c r="H250" s="10">
        <v>2</v>
      </c>
      <c r="I250" s="10">
        <v>99</v>
      </c>
      <c r="J250" t="str">
        <f t="shared" si="12"/>
        <v>61+</v>
      </c>
      <c r="K250" t="str">
        <f t="shared" si="13"/>
        <v>Elderly</v>
      </c>
      <c r="L250" t="str">
        <f t="shared" si="14"/>
        <v>Low Cost</v>
      </c>
      <c r="M250" t="str">
        <f t="shared" si="15"/>
        <v>Excellent</v>
      </c>
    </row>
    <row r="251" spans="1:13" x14ac:dyDescent="0.35">
      <c r="A251" t="s">
        <v>287</v>
      </c>
      <c r="B251" t="s">
        <v>49</v>
      </c>
      <c r="C251" t="s">
        <v>28</v>
      </c>
      <c r="D251" t="s">
        <v>65</v>
      </c>
      <c r="E251" t="s">
        <v>42</v>
      </c>
      <c r="F251">
        <v>37</v>
      </c>
      <c r="G251" s="9">
        <v>1621</v>
      </c>
      <c r="H251" s="10">
        <v>2</v>
      </c>
      <c r="I251" s="10">
        <v>62</v>
      </c>
      <c r="J251" t="str">
        <f t="shared" si="12"/>
        <v>21-40</v>
      </c>
      <c r="K251" t="str">
        <f t="shared" si="13"/>
        <v>Adult</v>
      </c>
      <c r="L251" t="str">
        <f t="shared" si="14"/>
        <v>Low Cost</v>
      </c>
      <c r="M251" t="str">
        <f t="shared" si="15"/>
        <v>Good</v>
      </c>
    </row>
    <row r="252" spans="1:13" x14ac:dyDescent="0.35">
      <c r="A252" t="s">
        <v>288</v>
      </c>
      <c r="B252" t="s">
        <v>20</v>
      </c>
      <c r="C252" t="s">
        <v>45</v>
      </c>
      <c r="D252" t="s">
        <v>36</v>
      </c>
      <c r="E252" t="s">
        <v>22</v>
      </c>
      <c r="F252">
        <v>57</v>
      </c>
      <c r="G252" s="9">
        <v>1219</v>
      </c>
      <c r="H252" s="10">
        <v>3</v>
      </c>
      <c r="I252" s="10">
        <v>92</v>
      </c>
      <c r="J252" t="str">
        <f t="shared" si="12"/>
        <v>41-60</v>
      </c>
      <c r="K252" t="str">
        <f t="shared" si="13"/>
        <v>Middle Age</v>
      </c>
      <c r="L252" t="str">
        <f t="shared" si="14"/>
        <v>Low Cost</v>
      </c>
      <c r="M252" t="str">
        <f t="shared" si="15"/>
        <v>Excellent</v>
      </c>
    </row>
    <row r="253" spans="1:13" x14ac:dyDescent="0.35">
      <c r="A253" t="s">
        <v>289</v>
      </c>
      <c r="B253" t="s">
        <v>49</v>
      </c>
      <c r="C253" t="s">
        <v>16</v>
      </c>
      <c r="D253" t="s">
        <v>25</v>
      </c>
      <c r="E253" t="s">
        <v>18</v>
      </c>
      <c r="F253">
        <v>39</v>
      </c>
      <c r="G253" s="9">
        <v>18948</v>
      </c>
      <c r="H253" s="10">
        <v>7</v>
      </c>
      <c r="I253" s="10">
        <v>95</v>
      </c>
      <c r="J253" t="str">
        <f t="shared" si="12"/>
        <v>21-40</v>
      </c>
      <c r="K253" t="str">
        <f t="shared" si="13"/>
        <v>Adult</v>
      </c>
      <c r="L253" t="str">
        <f t="shared" si="14"/>
        <v>High Cost</v>
      </c>
      <c r="M253" t="str">
        <f t="shared" si="15"/>
        <v>Excellent</v>
      </c>
    </row>
    <row r="254" spans="1:13" x14ac:dyDescent="0.35">
      <c r="A254" t="s">
        <v>290</v>
      </c>
      <c r="B254" t="s">
        <v>15</v>
      </c>
      <c r="C254" t="s">
        <v>45</v>
      </c>
      <c r="D254" t="s">
        <v>34</v>
      </c>
      <c r="E254" t="s">
        <v>18</v>
      </c>
      <c r="F254">
        <v>16</v>
      </c>
      <c r="G254" s="9">
        <v>2146</v>
      </c>
      <c r="H254" s="10">
        <v>2</v>
      </c>
      <c r="I254" s="10">
        <v>65</v>
      </c>
      <c r="J254" t="str">
        <f t="shared" si="12"/>
        <v>0-20</v>
      </c>
      <c r="K254" t="str">
        <f t="shared" si="13"/>
        <v>Teenager</v>
      </c>
      <c r="L254" t="str">
        <f t="shared" si="14"/>
        <v>Low Cost</v>
      </c>
      <c r="M254" t="str">
        <f t="shared" si="15"/>
        <v>Good</v>
      </c>
    </row>
    <row r="255" spans="1:13" x14ac:dyDescent="0.35">
      <c r="A255" t="s">
        <v>291</v>
      </c>
      <c r="B255" t="s">
        <v>54</v>
      </c>
      <c r="C255" t="s">
        <v>28</v>
      </c>
      <c r="D255" t="s">
        <v>17</v>
      </c>
      <c r="E255" t="s">
        <v>22</v>
      </c>
      <c r="F255">
        <v>74</v>
      </c>
      <c r="G255" s="9">
        <v>955</v>
      </c>
      <c r="H255" s="10">
        <v>2</v>
      </c>
      <c r="I255" s="10">
        <v>85</v>
      </c>
      <c r="J255" t="str">
        <f t="shared" si="12"/>
        <v>61+</v>
      </c>
      <c r="K255" t="str">
        <f t="shared" si="13"/>
        <v>Elderly</v>
      </c>
      <c r="L255" t="str">
        <f t="shared" si="14"/>
        <v>Low Cost</v>
      </c>
      <c r="M255" t="str">
        <f t="shared" si="15"/>
        <v>Excellent</v>
      </c>
    </row>
    <row r="256" spans="1:13" x14ac:dyDescent="0.35">
      <c r="A256" t="s">
        <v>292</v>
      </c>
      <c r="B256" t="s">
        <v>27</v>
      </c>
      <c r="C256" t="s">
        <v>16</v>
      </c>
      <c r="D256" t="s">
        <v>36</v>
      </c>
      <c r="E256" t="s">
        <v>22</v>
      </c>
      <c r="F256">
        <v>62</v>
      </c>
      <c r="G256" s="9">
        <v>13612</v>
      </c>
      <c r="H256" s="10">
        <v>11</v>
      </c>
      <c r="I256" s="10">
        <v>99</v>
      </c>
      <c r="J256" t="str">
        <f t="shared" si="12"/>
        <v>61+</v>
      </c>
      <c r="K256" t="str">
        <f t="shared" si="13"/>
        <v>Elderly</v>
      </c>
      <c r="L256" t="str">
        <f t="shared" si="14"/>
        <v>High Cost</v>
      </c>
      <c r="M256" t="str">
        <f t="shared" si="15"/>
        <v>Excellent</v>
      </c>
    </row>
    <row r="257" spans="1:13" x14ac:dyDescent="0.35">
      <c r="A257" t="s">
        <v>293</v>
      </c>
      <c r="B257" t="s">
        <v>30</v>
      </c>
      <c r="C257" t="s">
        <v>16</v>
      </c>
      <c r="D257" t="s">
        <v>47</v>
      </c>
      <c r="E257" t="s">
        <v>18</v>
      </c>
      <c r="F257">
        <v>83</v>
      </c>
      <c r="G257" s="9">
        <v>6215</v>
      </c>
      <c r="H257" s="10">
        <v>12</v>
      </c>
      <c r="I257" s="10">
        <v>79</v>
      </c>
      <c r="J257" t="str">
        <f t="shared" si="12"/>
        <v>61+</v>
      </c>
      <c r="K257" t="str">
        <f t="shared" si="13"/>
        <v>Elderly</v>
      </c>
      <c r="L257" t="str">
        <f t="shared" si="14"/>
        <v>Low Cost</v>
      </c>
      <c r="M257" t="str">
        <f t="shared" si="15"/>
        <v>Good</v>
      </c>
    </row>
    <row r="258" spans="1:13" x14ac:dyDescent="0.35">
      <c r="A258" t="s">
        <v>294</v>
      </c>
      <c r="B258" t="s">
        <v>15</v>
      </c>
      <c r="C258" t="s">
        <v>31</v>
      </c>
      <c r="D258" t="s">
        <v>47</v>
      </c>
      <c r="E258" t="s">
        <v>18</v>
      </c>
      <c r="F258">
        <v>71</v>
      </c>
      <c r="G258" s="9">
        <v>6241</v>
      </c>
      <c r="H258" s="10">
        <v>4</v>
      </c>
      <c r="I258" s="10">
        <v>99</v>
      </c>
      <c r="J258" t="str">
        <f t="shared" ref="J258:J321" si="16">IF(F258&lt;=20,"0-20",IF(F258&lt;=40,"21-40",IF(F258&lt;=60,"41-60","61+")))</f>
        <v>61+</v>
      </c>
      <c r="K258" t="str">
        <f t="shared" ref="K258:K321" si="17">IF(F258&lt;=5,"Infant",IF(F258&lt;=12,"Child",IF(F258&lt;=19,"Teenager",IF(F258&lt;=29,"Youth",IF(F258&lt;=44,"Adult",IF(F258&lt;=60,"Middle Age",IF(F258&gt;60,"Elderly")))))))</f>
        <v>Elderly</v>
      </c>
      <c r="L258" t="str">
        <f t="shared" ref="L258:L321" si="18">IF(G258&gt;=7500,"High Cost","Low Cost")</f>
        <v>Low Cost</v>
      </c>
      <c r="M258" t="str">
        <f t="shared" ref="M258:M321" si="19">IF(I258&gt;=80,"Excellent",IF(I258&gt;=60,"Good","Poor"))</f>
        <v>Excellent</v>
      </c>
    </row>
    <row r="259" spans="1:13" x14ac:dyDescent="0.35">
      <c r="A259" t="s">
        <v>295</v>
      </c>
      <c r="B259" t="s">
        <v>27</v>
      </c>
      <c r="C259" t="s">
        <v>28</v>
      </c>
      <c r="D259" t="s">
        <v>25</v>
      </c>
      <c r="E259" t="s">
        <v>18</v>
      </c>
      <c r="F259">
        <v>8</v>
      </c>
      <c r="G259" s="9">
        <v>1902</v>
      </c>
      <c r="H259" s="10">
        <v>1</v>
      </c>
      <c r="I259" s="10">
        <v>83</v>
      </c>
      <c r="J259" t="str">
        <f t="shared" si="16"/>
        <v>0-20</v>
      </c>
      <c r="K259" t="str">
        <f t="shared" si="17"/>
        <v>Child</v>
      </c>
      <c r="L259" t="str">
        <f t="shared" si="18"/>
        <v>Low Cost</v>
      </c>
      <c r="M259" t="str">
        <f t="shared" si="19"/>
        <v>Excellent</v>
      </c>
    </row>
    <row r="260" spans="1:13" x14ac:dyDescent="0.35">
      <c r="A260" t="s">
        <v>296</v>
      </c>
      <c r="B260" t="s">
        <v>27</v>
      </c>
      <c r="C260" t="s">
        <v>31</v>
      </c>
      <c r="D260" t="s">
        <v>47</v>
      </c>
      <c r="E260" t="s">
        <v>22</v>
      </c>
      <c r="F260">
        <v>29</v>
      </c>
      <c r="G260" s="9">
        <v>3834</v>
      </c>
      <c r="H260" s="10">
        <v>10</v>
      </c>
      <c r="I260" s="10">
        <v>68</v>
      </c>
      <c r="J260" t="str">
        <f t="shared" si="16"/>
        <v>21-40</v>
      </c>
      <c r="K260" t="str">
        <f t="shared" si="17"/>
        <v>Youth</v>
      </c>
      <c r="L260" t="str">
        <f t="shared" si="18"/>
        <v>Low Cost</v>
      </c>
      <c r="M260" t="str">
        <f t="shared" si="19"/>
        <v>Good</v>
      </c>
    </row>
    <row r="261" spans="1:13" x14ac:dyDescent="0.35">
      <c r="A261" t="s">
        <v>297</v>
      </c>
      <c r="B261" t="s">
        <v>54</v>
      </c>
      <c r="C261" t="s">
        <v>16</v>
      </c>
      <c r="D261" t="s">
        <v>32</v>
      </c>
      <c r="E261" t="s">
        <v>22</v>
      </c>
      <c r="F261">
        <v>71</v>
      </c>
      <c r="G261" s="9">
        <v>9496</v>
      </c>
      <c r="H261" s="10">
        <v>7</v>
      </c>
      <c r="I261" s="10">
        <v>90</v>
      </c>
      <c r="J261" t="str">
        <f t="shared" si="16"/>
        <v>61+</v>
      </c>
      <c r="K261" t="str">
        <f t="shared" si="17"/>
        <v>Elderly</v>
      </c>
      <c r="L261" t="str">
        <f t="shared" si="18"/>
        <v>High Cost</v>
      </c>
      <c r="M261" t="str">
        <f t="shared" si="19"/>
        <v>Excellent</v>
      </c>
    </row>
    <row r="262" spans="1:13" x14ac:dyDescent="0.35">
      <c r="A262" t="s">
        <v>298</v>
      </c>
      <c r="B262" t="s">
        <v>49</v>
      </c>
      <c r="C262" t="s">
        <v>16</v>
      </c>
      <c r="D262" t="s">
        <v>25</v>
      </c>
      <c r="E262" t="s">
        <v>18</v>
      </c>
      <c r="F262">
        <v>76</v>
      </c>
      <c r="G262" s="9">
        <v>14513</v>
      </c>
      <c r="H262" s="10">
        <v>7</v>
      </c>
      <c r="I262" s="10">
        <v>60</v>
      </c>
      <c r="J262" t="str">
        <f t="shared" si="16"/>
        <v>61+</v>
      </c>
      <c r="K262" t="str">
        <f t="shared" si="17"/>
        <v>Elderly</v>
      </c>
      <c r="L262" t="str">
        <f t="shared" si="18"/>
        <v>High Cost</v>
      </c>
      <c r="M262" t="str">
        <f t="shared" si="19"/>
        <v>Good</v>
      </c>
    </row>
    <row r="263" spans="1:13" x14ac:dyDescent="0.35">
      <c r="A263" t="s">
        <v>299</v>
      </c>
      <c r="B263" t="s">
        <v>15</v>
      </c>
      <c r="C263" t="s">
        <v>31</v>
      </c>
      <c r="D263" t="s">
        <v>21</v>
      </c>
      <c r="E263" t="s">
        <v>22</v>
      </c>
      <c r="F263">
        <v>4</v>
      </c>
      <c r="G263" s="9">
        <v>1665</v>
      </c>
      <c r="H263" s="10">
        <v>2</v>
      </c>
      <c r="I263" s="10">
        <v>91</v>
      </c>
      <c r="J263" t="str">
        <f t="shared" si="16"/>
        <v>0-20</v>
      </c>
      <c r="K263" t="str">
        <f t="shared" si="17"/>
        <v>Infant</v>
      </c>
      <c r="L263" t="str">
        <f t="shared" si="18"/>
        <v>Low Cost</v>
      </c>
      <c r="M263" t="str">
        <f t="shared" si="19"/>
        <v>Excellent</v>
      </c>
    </row>
    <row r="264" spans="1:13" x14ac:dyDescent="0.35">
      <c r="A264" t="s">
        <v>300</v>
      </c>
      <c r="B264" t="s">
        <v>54</v>
      </c>
      <c r="C264" t="s">
        <v>31</v>
      </c>
      <c r="D264" t="s">
        <v>65</v>
      </c>
      <c r="E264" t="s">
        <v>18</v>
      </c>
      <c r="F264">
        <v>54</v>
      </c>
      <c r="G264" s="9">
        <v>6063</v>
      </c>
      <c r="H264" s="10">
        <v>2</v>
      </c>
      <c r="I264" s="10">
        <v>81</v>
      </c>
      <c r="J264" t="str">
        <f t="shared" si="16"/>
        <v>41-60</v>
      </c>
      <c r="K264" t="str">
        <f t="shared" si="17"/>
        <v>Middle Age</v>
      </c>
      <c r="L264" t="str">
        <f t="shared" si="18"/>
        <v>Low Cost</v>
      </c>
      <c r="M264" t="str">
        <f t="shared" si="19"/>
        <v>Excellent</v>
      </c>
    </row>
    <row r="265" spans="1:13" x14ac:dyDescent="0.35">
      <c r="A265" t="s">
        <v>301</v>
      </c>
      <c r="B265" t="s">
        <v>15</v>
      </c>
      <c r="C265" t="s">
        <v>31</v>
      </c>
      <c r="D265" t="s">
        <v>32</v>
      </c>
      <c r="E265" t="s">
        <v>22</v>
      </c>
      <c r="F265">
        <v>88</v>
      </c>
      <c r="G265" s="9">
        <v>4326</v>
      </c>
      <c r="H265" s="10">
        <v>6</v>
      </c>
      <c r="I265" s="10">
        <v>79</v>
      </c>
      <c r="J265" t="str">
        <f t="shared" si="16"/>
        <v>61+</v>
      </c>
      <c r="K265" t="str">
        <f t="shared" si="17"/>
        <v>Elderly</v>
      </c>
      <c r="L265" t="str">
        <f t="shared" si="18"/>
        <v>Low Cost</v>
      </c>
      <c r="M265" t="str">
        <f t="shared" si="19"/>
        <v>Good</v>
      </c>
    </row>
    <row r="266" spans="1:13" x14ac:dyDescent="0.35">
      <c r="A266" t="s">
        <v>302</v>
      </c>
      <c r="B266" t="s">
        <v>20</v>
      </c>
      <c r="C266" t="s">
        <v>16</v>
      </c>
      <c r="D266" t="s">
        <v>47</v>
      </c>
      <c r="E266" t="s">
        <v>22</v>
      </c>
      <c r="F266">
        <v>62</v>
      </c>
      <c r="G266" s="9">
        <v>12609</v>
      </c>
      <c r="H266" s="10">
        <v>8</v>
      </c>
      <c r="I266" s="10">
        <v>71</v>
      </c>
      <c r="J266" t="str">
        <f t="shared" si="16"/>
        <v>61+</v>
      </c>
      <c r="K266" t="str">
        <f t="shared" si="17"/>
        <v>Elderly</v>
      </c>
      <c r="L266" t="str">
        <f t="shared" si="18"/>
        <v>High Cost</v>
      </c>
      <c r="M266" t="str">
        <f t="shared" si="19"/>
        <v>Good</v>
      </c>
    </row>
    <row r="267" spans="1:13" x14ac:dyDescent="0.35">
      <c r="A267" t="s">
        <v>303</v>
      </c>
      <c r="B267" t="s">
        <v>24</v>
      </c>
      <c r="C267" t="s">
        <v>45</v>
      </c>
      <c r="D267" t="s">
        <v>34</v>
      </c>
      <c r="E267" t="s">
        <v>18</v>
      </c>
      <c r="F267">
        <v>41</v>
      </c>
      <c r="G267" s="9">
        <v>3329</v>
      </c>
      <c r="H267" s="10">
        <v>4</v>
      </c>
      <c r="I267" s="10">
        <v>58</v>
      </c>
      <c r="J267" t="str">
        <f t="shared" si="16"/>
        <v>41-60</v>
      </c>
      <c r="K267" t="str">
        <f t="shared" si="17"/>
        <v>Adult</v>
      </c>
      <c r="L267" t="str">
        <f t="shared" si="18"/>
        <v>Low Cost</v>
      </c>
      <c r="M267" t="str">
        <f t="shared" si="19"/>
        <v>Poor</v>
      </c>
    </row>
    <row r="268" spans="1:13" x14ac:dyDescent="0.35">
      <c r="A268" t="s">
        <v>304</v>
      </c>
      <c r="B268" t="s">
        <v>54</v>
      </c>
      <c r="C268" t="s">
        <v>31</v>
      </c>
      <c r="D268" t="s">
        <v>25</v>
      </c>
      <c r="E268" t="s">
        <v>18</v>
      </c>
      <c r="F268">
        <v>41</v>
      </c>
      <c r="G268" s="9">
        <v>2980</v>
      </c>
      <c r="H268" s="10">
        <v>9</v>
      </c>
      <c r="I268" s="10">
        <v>57</v>
      </c>
      <c r="J268" t="str">
        <f t="shared" si="16"/>
        <v>41-60</v>
      </c>
      <c r="K268" t="str">
        <f t="shared" si="17"/>
        <v>Adult</v>
      </c>
      <c r="L268" t="str">
        <f t="shared" si="18"/>
        <v>Low Cost</v>
      </c>
      <c r="M268" t="str">
        <f t="shared" si="19"/>
        <v>Poor</v>
      </c>
    </row>
    <row r="269" spans="1:13" x14ac:dyDescent="0.35">
      <c r="A269" t="s">
        <v>305</v>
      </c>
      <c r="B269" t="s">
        <v>49</v>
      </c>
      <c r="C269" t="s">
        <v>28</v>
      </c>
      <c r="D269" t="s">
        <v>65</v>
      </c>
      <c r="E269" t="s">
        <v>22</v>
      </c>
      <c r="F269">
        <v>7</v>
      </c>
      <c r="G269" s="9">
        <v>794</v>
      </c>
      <c r="H269" s="10">
        <v>2</v>
      </c>
      <c r="I269" s="10">
        <v>89</v>
      </c>
      <c r="J269" t="str">
        <f t="shared" si="16"/>
        <v>0-20</v>
      </c>
      <c r="K269" t="str">
        <f t="shared" si="17"/>
        <v>Child</v>
      </c>
      <c r="L269" t="str">
        <f t="shared" si="18"/>
        <v>Low Cost</v>
      </c>
      <c r="M269" t="str">
        <f t="shared" si="19"/>
        <v>Excellent</v>
      </c>
    </row>
    <row r="270" spans="1:13" x14ac:dyDescent="0.35">
      <c r="A270" t="s">
        <v>306</v>
      </c>
      <c r="B270" t="s">
        <v>30</v>
      </c>
      <c r="C270" t="s">
        <v>45</v>
      </c>
      <c r="D270" t="s">
        <v>47</v>
      </c>
      <c r="E270" t="s">
        <v>18</v>
      </c>
      <c r="F270">
        <v>74</v>
      </c>
      <c r="G270" s="9">
        <v>3061</v>
      </c>
      <c r="H270" s="10">
        <v>2</v>
      </c>
      <c r="I270" s="10">
        <v>98</v>
      </c>
      <c r="J270" t="str">
        <f t="shared" si="16"/>
        <v>61+</v>
      </c>
      <c r="K270" t="str">
        <f t="shared" si="17"/>
        <v>Elderly</v>
      </c>
      <c r="L270" t="str">
        <f t="shared" si="18"/>
        <v>Low Cost</v>
      </c>
      <c r="M270" t="str">
        <f t="shared" si="19"/>
        <v>Excellent</v>
      </c>
    </row>
    <row r="271" spans="1:13" x14ac:dyDescent="0.35">
      <c r="A271" t="s">
        <v>307</v>
      </c>
      <c r="B271" t="s">
        <v>27</v>
      </c>
      <c r="C271" t="s">
        <v>28</v>
      </c>
      <c r="D271" t="s">
        <v>25</v>
      </c>
      <c r="E271" t="s">
        <v>22</v>
      </c>
      <c r="F271">
        <v>40</v>
      </c>
      <c r="G271" s="9">
        <v>1218</v>
      </c>
      <c r="H271" s="10">
        <v>1</v>
      </c>
      <c r="I271" s="10">
        <v>55</v>
      </c>
      <c r="J271" t="str">
        <f t="shared" si="16"/>
        <v>21-40</v>
      </c>
      <c r="K271" t="str">
        <f t="shared" si="17"/>
        <v>Adult</v>
      </c>
      <c r="L271" t="str">
        <f t="shared" si="18"/>
        <v>Low Cost</v>
      </c>
      <c r="M271" t="str">
        <f t="shared" si="19"/>
        <v>Poor</v>
      </c>
    </row>
    <row r="272" spans="1:13" x14ac:dyDescent="0.35">
      <c r="A272" t="s">
        <v>308</v>
      </c>
      <c r="B272" t="s">
        <v>30</v>
      </c>
      <c r="C272" t="s">
        <v>28</v>
      </c>
      <c r="D272" t="s">
        <v>65</v>
      </c>
      <c r="E272" t="s">
        <v>22</v>
      </c>
      <c r="F272">
        <v>46</v>
      </c>
      <c r="G272" s="9">
        <v>299</v>
      </c>
      <c r="H272" s="10">
        <v>1</v>
      </c>
      <c r="I272" s="10">
        <v>68</v>
      </c>
      <c r="J272" t="str">
        <f t="shared" si="16"/>
        <v>41-60</v>
      </c>
      <c r="K272" t="str">
        <f t="shared" si="17"/>
        <v>Middle Age</v>
      </c>
      <c r="L272" t="str">
        <f t="shared" si="18"/>
        <v>Low Cost</v>
      </c>
      <c r="M272" t="str">
        <f t="shared" si="19"/>
        <v>Good</v>
      </c>
    </row>
    <row r="273" spans="1:13" x14ac:dyDescent="0.35">
      <c r="A273" t="s">
        <v>309</v>
      </c>
      <c r="B273" t="s">
        <v>30</v>
      </c>
      <c r="C273" t="s">
        <v>28</v>
      </c>
      <c r="D273" t="s">
        <v>32</v>
      </c>
      <c r="E273" t="s">
        <v>18</v>
      </c>
      <c r="F273">
        <v>14</v>
      </c>
      <c r="G273" s="9">
        <v>1082</v>
      </c>
      <c r="H273" s="10">
        <v>1</v>
      </c>
      <c r="I273" s="10">
        <v>66</v>
      </c>
      <c r="J273" t="str">
        <f t="shared" si="16"/>
        <v>0-20</v>
      </c>
      <c r="K273" t="str">
        <f t="shared" si="17"/>
        <v>Teenager</v>
      </c>
      <c r="L273" t="str">
        <f t="shared" si="18"/>
        <v>Low Cost</v>
      </c>
      <c r="M273" t="str">
        <f t="shared" si="19"/>
        <v>Good</v>
      </c>
    </row>
    <row r="274" spans="1:13" x14ac:dyDescent="0.35">
      <c r="A274" t="s">
        <v>310</v>
      </c>
      <c r="B274" t="s">
        <v>15</v>
      </c>
      <c r="C274" t="s">
        <v>31</v>
      </c>
      <c r="D274" t="s">
        <v>52</v>
      </c>
      <c r="E274" t="s">
        <v>22</v>
      </c>
      <c r="F274">
        <v>52</v>
      </c>
      <c r="G274" s="9">
        <v>1419</v>
      </c>
      <c r="H274" s="10">
        <v>10</v>
      </c>
      <c r="I274" s="10">
        <v>62</v>
      </c>
      <c r="J274" t="str">
        <f t="shared" si="16"/>
        <v>41-60</v>
      </c>
      <c r="K274" t="str">
        <f t="shared" si="17"/>
        <v>Middle Age</v>
      </c>
      <c r="L274" t="str">
        <f t="shared" si="18"/>
        <v>Low Cost</v>
      </c>
      <c r="M274" t="str">
        <f t="shared" si="19"/>
        <v>Good</v>
      </c>
    </row>
    <row r="275" spans="1:13" x14ac:dyDescent="0.35">
      <c r="A275" t="s">
        <v>311</v>
      </c>
      <c r="B275" t="s">
        <v>49</v>
      </c>
      <c r="C275" t="s">
        <v>31</v>
      </c>
      <c r="D275" t="s">
        <v>36</v>
      </c>
      <c r="E275" t="s">
        <v>22</v>
      </c>
      <c r="F275">
        <v>58</v>
      </c>
      <c r="G275" s="9">
        <v>5504</v>
      </c>
      <c r="H275" s="10">
        <v>6</v>
      </c>
      <c r="I275" s="10">
        <v>89</v>
      </c>
      <c r="J275" t="str">
        <f t="shared" si="16"/>
        <v>41-60</v>
      </c>
      <c r="K275" t="str">
        <f t="shared" si="17"/>
        <v>Middle Age</v>
      </c>
      <c r="L275" t="str">
        <f t="shared" si="18"/>
        <v>Low Cost</v>
      </c>
      <c r="M275" t="str">
        <f t="shared" si="19"/>
        <v>Excellent</v>
      </c>
    </row>
    <row r="276" spans="1:13" x14ac:dyDescent="0.35">
      <c r="A276" t="s">
        <v>312</v>
      </c>
      <c r="B276" t="s">
        <v>15</v>
      </c>
      <c r="C276" t="s">
        <v>16</v>
      </c>
      <c r="D276" t="s">
        <v>47</v>
      </c>
      <c r="E276" t="s">
        <v>18</v>
      </c>
      <c r="F276">
        <v>51</v>
      </c>
      <c r="G276" s="9">
        <v>11114</v>
      </c>
      <c r="H276" s="10">
        <v>10</v>
      </c>
      <c r="I276" s="10">
        <v>85</v>
      </c>
      <c r="J276" t="str">
        <f t="shared" si="16"/>
        <v>41-60</v>
      </c>
      <c r="K276" t="str">
        <f t="shared" si="17"/>
        <v>Middle Age</v>
      </c>
      <c r="L276" t="str">
        <f t="shared" si="18"/>
        <v>High Cost</v>
      </c>
      <c r="M276" t="str">
        <f t="shared" si="19"/>
        <v>Excellent</v>
      </c>
    </row>
    <row r="277" spans="1:13" x14ac:dyDescent="0.35">
      <c r="A277" t="s">
        <v>313</v>
      </c>
      <c r="B277" t="s">
        <v>49</v>
      </c>
      <c r="C277" t="s">
        <v>45</v>
      </c>
      <c r="D277" t="s">
        <v>65</v>
      </c>
      <c r="E277" t="s">
        <v>18</v>
      </c>
      <c r="F277">
        <v>52</v>
      </c>
      <c r="G277" s="9">
        <v>4596</v>
      </c>
      <c r="H277" s="10">
        <v>1</v>
      </c>
      <c r="I277" s="10">
        <v>52</v>
      </c>
      <c r="J277" t="str">
        <f t="shared" si="16"/>
        <v>41-60</v>
      </c>
      <c r="K277" t="str">
        <f t="shared" si="17"/>
        <v>Middle Age</v>
      </c>
      <c r="L277" t="str">
        <f t="shared" si="18"/>
        <v>Low Cost</v>
      </c>
      <c r="M277" t="str">
        <f t="shared" si="19"/>
        <v>Poor</v>
      </c>
    </row>
    <row r="278" spans="1:13" x14ac:dyDescent="0.35">
      <c r="A278" t="s">
        <v>314</v>
      </c>
      <c r="B278" t="s">
        <v>20</v>
      </c>
      <c r="C278" t="s">
        <v>45</v>
      </c>
      <c r="D278" t="s">
        <v>34</v>
      </c>
      <c r="E278" t="s">
        <v>18</v>
      </c>
      <c r="F278">
        <v>67</v>
      </c>
      <c r="G278" s="9">
        <v>4243</v>
      </c>
      <c r="H278" s="10">
        <v>2</v>
      </c>
      <c r="I278" s="10">
        <v>88</v>
      </c>
      <c r="J278" t="str">
        <f t="shared" si="16"/>
        <v>61+</v>
      </c>
      <c r="K278" t="str">
        <f t="shared" si="17"/>
        <v>Elderly</v>
      </c>
      <c r="L278" t="str">
        <f t="shared" si="18"/>
        <v>Low Cost</v>
      </c>
      <c r="M278" t="str">
        <f t="shared" si="19"/>
        <v>Excellent</v>
      </c>
    </row>
    <row r="279" spans="1:13" x14ac:dyDescent="0.35">
      <c r="A279" t="s">
        <v>315</v>
      </c>
      <c r="B279" t="s">
        <v>24</v>
      </c>
      <c r="C279" t="s">
        <v>45</v>
      </c>
      <c r="D279" t="s">
        <v>34</v>
      </c>
      <c r="E279" t="s">
        <v>18</v>
      </c>
      <c r="F279">
        <v>41</v>
      </c>
      <c r="G279" s="9">
        <v>1831</v>
      </c>
      <c r="H279" s="10">
        <v>4</v>
      </c>
      <c r="I279" s="10">
        <v>89</v>
      </c>
      <c r="J279" t="str">
        <f t="shared" si="16"/>
        <v>41-60</v>
      </c>
      <c r="K279" t="str">
        <f t="shared" si="17"/>
        <v>Adult</v>
      </c>
      <c r="L279" t="str">
        <f t="shared" si="18"/>
        <v>Low Cost</v>
      </c>
      <c r="M279" t="str">
        <f t="shared" si="19"/>
        <v>Excellent</v>
      </c>
    </row>
    <row r="280" spans="1:13" x14ac:dyDescent="0.35">
      <c r="A280" t="s">
        <v>316</v>
      </c>
      <c r="B280" t="s">
        <v>15</v>
      </c>
      <c r="C280" t="s">
        <v>31</v>
      </c>
      <c r="D280" t="s">
        <v>21</v>
      </c>
      <c r="E280" t="s">
        <v>22</v>
      </c>
      <c r="F280">
        <v>66</v>
      </c>
      <c r="G280" s="9">
        <v>5360</v>
      </c>
      <c r="H280" s="10">
        <v>9</v>
      </c>
      <c r="I280" s="10">
        <v>95</v>
      </c>
      <c r="J280" t="str">
        <f t="shared" si="16"/>
        <v>61+</v>
      </c>
      <c r="K280" t="str">
        <f t="shared" si="17"/>
        <v>Elderly</v>
      </c>
      <c r="L280" t="str">
        <f t="shared" si="18"/>
        <v>Low Cost</v>
      </c>
      <c r="M280" t="str">
        <f t="shared" si="19"/>
        <v>Excellent</v>
      </c>
    </row>
    <row r="281" spans="1:13" x14ac:dyDescent="0.35">
      <c r="A281" t="s">
        <v>317</v>
      </c>
      <c r="B281" t="s">
        <v>24</v>
      </c>
      <c r="C281" t="s">
        <v>31</v>
      </c>
      <c r="D281" t="s">
        <v>39</v>
      </c>
      <c r="E281" t="s">
        <v>18</v>
      </c>
      <c r="F281">
        <v>48</v>
      </c>
      <c r="G281" s="9">
        <v>3713</v>
      </c>
      <c r="H281" s="10">
        <v>3</v>
      </c>
      <c r="I281" s="10">
        <v>76</v>
      </c>
      <c r="J281" t="str">
        <f t="shared" si="16"/>
        <v>41-60</v>
      </c>
      <c r="K281" t="str">
        <f t="shared" si="17"/>
        <v>Middle Age</v>
      </c>
      <c r="L281" t="str">
        <f t="shared" si="18"/>
        <v>Low Cost</v>
      </c>
      <c r="M281" t="str">
        <f t="shared" si="19"/>
        <v>Good</v>
      </c>
    </row>
    <row r="282" spans="1:13" x14ac:dyDescent="0.35">
      <c r="A282" t="s">
        <v>318</v>
      </c>
      <c r="B282" t="s">
        <v>24</v>
      </c>
      <c r="C282" t="s">
        <v>31</v>
      </c>
      <c r="D282" t="s">
        <v>17</v>
      </c>
      <c r="E282" t="s">
        <v>18</v>
      </c>
      <c r="F282">
        <v>34</v>
      </c>
      <c r="G282" s="9">
        <v>6370</v>
      </c>
      <c r="H282" s="10">
        <v>5</v>
      </c>
      <c r="I282" s="10">
        <v>96</v>
      </c>
      <c r="J282" t="str">
        <f t="shared" si="16"/>
        <v>21-40</v>
      </c>
      <c r="K282" t="str">
        <f t="shared" si="17"/>
        <v>Adult</v>
      </c>
      <c r="L282" t="str">
        <f t="shared" si="18"/>
        <v>Low Cost</v>
      </c>
      <c r="M282" t="str">
        <f t="shared" si="19"/>
        <v>Excellent</v>
      </c>
    </row>
    <row r="283" spans="1:13" x14ac:dyDescent="0.35">
      <c r="A283" t="s">
        <v>319</v>
      </c>
      <c r="B283" t="s">
        <v>20</v>
      </c>
      <c r="C283" t="s">
        <v>28</v>
      </c>
      <c r="D283" t="s">
        <v>47</v>
      </c>
      <c r="E283" t="s">
        <v>18</v>
      </c>
      <c r="F283">
        <v>80</v>
      </c>
      <c r="G283" s="9">
        <v>1786</v>
      </c>
      <c r="H283" s="10">
        <v>2</v>
      </c>
      <c r="I283" s="10">
        <v>59</v>
      </c>
      <c r="J283" t="str">
        <f t="shared" si="16"/>
        <v>61+</v>
      </c>
      <c r="K283" t="str">
        <f t="shared" si="17"/>
        <v>Elderly</v>
      </c>
      <c r="L283" t="str">
        <f t="shared" si="18"/>
        <v>Low Cost</v>
      </c>
      <c r="M283" t="str">
        <f t="shared" si="19"/>
        <v>Poor</v>
      </c>
    </row>
    <row r="284" spans="1:13" x14ac:dyDescent="0.35">
      <c r="A284" t="s">
        <v>320</v>
      </c>
      <c r="B284" t="s">
        <v>54</v>
      </c>
      <c r="C284" t="s">
        <v>45</v>
      </c>
      <c r="D284" t="s">
        <v>17</v>
      </c>
      <c r="E284" t="s">
        <v>18</v>
      </c>
      <c r="F284">
        <v>90</v>
      </c>
      <c r="G284" s="9">
        <v>1400</v>
      </c>
      <c r="H284" s="10">
        <v>2</v>
      </c>
      <c r="I284" s="10">
        <v>51</v>
      </c>
      <c r="J284" t="str">
        <f t="shared" si="16"/>
        <v>61+</v>
      </c>
      <c r="K284" t="str">
        <f t="shared" si="17"/>
        <v>Elderly</v>
      </c>
      <c r="L284" t="str">
        <f t="shared" si="18"/>
        <v>Low Cost</v>
      </c>
      <c r="M284" t="str">
        <f t="shared" si="19"/>
        <v>Poor</v>
      </c>
    </row>
    <row r="285" spans="1:13" x14ac:dyDescent="0.35">
      <c r="A285" t="s">
        <v>321</v>
      </c>
      <c r="B285" t="s">
        <v>30</v>
      </c>
      <c r="C285" t="s">
        <v>31</v>
      </c>
      <c r="D285" t="s">
        <v>52</v>
      </c>
      <c r="E285" t="s">
        <v>22</v>
      </c>
      <c r="F285">
        <v>89</v>
      </c>
      <c r="G285" s="9">
        <v>2670</v>
      </c>
      <c r="H285" s="10">
        <v>8</v>
      </c>
      <c r="I285" s="10">
        <v>82</v>
      </c>
      <c r="J285" t="str">
        <f t="shared" si="16"/>
        <v>61+</v>
      </c>
      <c r="K285" t="str">
        <f t="shared" si="17"/>
        <v>Elderly</v>
      </c>
      <c r="L285" t="str">
        <f t="shared" si="18"/>
        <v>Low Cost</v>
      </c>
      <c r="M285" t="str">
        <f t="shared" si="19"/>
        <v>Excellent</v>
      </c>
    </row>
    <row r="286" spans="1:13" x14ac:dyDescent="0.35">
      <c r="A286" t="s">
        <v>322</v>
      </c>
      <c r="B286" t="s">
        <v>54</v>
      </c>
      <c r="C286" t="s">
        <v>28</v>
      </c>
      <c r="D286" t="s">
        <v>17</v>
      </c>
      <c r="E286" t="s">
        <v>18</v>
      </c>
      <c r="F286">
        <v>67</v>
      </c>
      <c r="G286" s="9">
        <v>624</v>
      </c>
      <c r="H286" s="10">
        <v>3</v>
      </c>
      <c r="I286" s="10">
        <v>70</v>
      </c>
      <c r="J286" t="str">
        <f t="shared" si="16"/>
        <v>61+</v>
      </c>
      <c r="K286" t="str">
        <f t="shared" si="17"/>
        <v>Elderly</v>
      </c>
      <c r="L286" t="str">
        <f t="shared" si="18"/>
        <v>Low Cost</v>
      </c>
      <c r="M286" t="str">
        <f t="shared" si="19"/>
        <v>Good</v>
      </c>
    </row>
    <row r="287" spans="1:13" x14ac:dyDescent="0.35">
      <c r="A287" t="s">
        <v>323</v>
      </c>
      <c r="B287" t="s">
        <v>15</v>
      </c>
      <c r="C287" t="s">
        <v>28</v>
      </c>
      <c r="D287" t="s">
        <v>25</v>
      </c>
      <c r="E287" t="s">
        <v>22</v>
      </c>
      <c r="F287">
        <v>23</v>
      </c>
      <c r="G287" s="9">
        <v>1141</v>
      </c>
      <c r="H287" s="10">
        <v>3</v>
      </c>
      <c r="I287" s="10">
        <v>71</v>
      </c>
      <c r="J287" t="str">
        <f t="shared" si="16"/>
        <v>21-40</v>
      </c>
      <c r="K287" t="str">
        <f t="shared" si="17"/>
        <v>Youth</v>
      </c>
      <c r="L287" t="str">
        <f t="shared" si="18"/>
        <v>Low Cost</v>
      </c>
      <c r="M287" t="str">
        <f t="shared" si="19"/>
        <v>Good</v>
      </c>
    </row>
    <row r="288" spans="1:13" x14ac:dyDescent="0.35">
      <c r="A288" t="s">
        <v>324</v>
      </c>
      <c r="B288" t="s">
        <v>24</v>
      </c>
      <c r="C288" t="s">
        <v>31</v>
      </c>
      <c r="D288" t="s">
        <v>32</v>
      </c>
      <c r="E288" t="s">
        <v>18</v>
      </c>
      <c r="F288">
        <v>25</v>
      </c>
      <c r="G288" s="9">
        <v>3019</v>
      </c>
      <c r="H288" s="10">
        <v>6</v>
      </c>
      <c r="I288" s="10">
        <v>85</v>
      </c>
      <c r="J288" t="str">
        <f t="shared" si="16"/>
        <v>21-40</v>
      </c>
      <c r="K288" t="str">
        <f t="shared" si="17"/>
        <v>Youth</v>
      </c>
      <c r="L288" t="str">
        <f t="shared" si="18"/>
        <v>Low Cost</v>
      </c>
      <c r="M288" t="str">
        <f t="shared" si="19"/>
        <v>Excellent</v>
      </c>
    </row>
    <row r="289" spans="1:13" x14ac:dyDescent="0.35">
      <c r="A289" t="s">
        <v>325</v>
      </c>
      <c r="B289" t="s">
        <v>49</v>
      </c>
      <c r="C289" t="s">
        <v>45</v>
      </c>
      <c r="D289" t="s">
        <v>32</v>
      </c>
      <c r="E289" t="s">
        <v>18</v>
      </c>
      <c r="F289">
        <v>27</v>
      </c>
      <c r="G289" s="9">
        <v>4505</v>
      </c>
      <c r="H289" s="10">
        <v>3</v>
      </c>
      <c r="I289" s="10">
        <v>80</v>
      </c>
      <c r="J289" t="str">
        <f t="shared" si="16"/>
        <v>21-40</v>
      </c>
      <c r="K289" t="str">
        <f t="shared" si="17"/>
        <v>Youth</v>
      </c>
      <c r="L289" t="str">
        <f t="shared" si="18"/>
        <v>Low Cost</v>
      </c>
      <c r="M289" t="str">
        <f t="shared" si="19"/>
        <v>Excellent</v>
      </c>
    </row>
    <row r="290" spans="1:13" x14ac:dyDescent="0.35">
      <c r="A290" t="s">
        <v>326</v>
      </c>
      <c r="B290" t="s">
        <v>49</v>
      </c>
      <c r="C290" t="s">
        <v>31</v>
      </c>
      <c r="D290" t="s">
        <v>32</v>
      </c>
      <c r="E290" t="s">
        <v>22</v>
      </c>
      <c r="F290">
        <v>87</v>
      </c>
      <c r="G290" s="9">
        <v>5449</v>
      </c>
      <c r="H290" s="10">
        <v>8</v>
      </c>
      <c r="I290" s="10">
        <v>75</v>
      </c>
      <c r="J290" t="str">
        <f t="shared" si="16"/>
        <v>61+</v>
      </c>
      <c r="K290" t="str">
        <f t="shared" si="17"/>
        <v>Elderly</v>
      </c>
      <c r="L290" t="str">
        <f t="shared" si="18"/>
        <v>Low Cost</v>
      </c>
      <c r="M290" t="str">
        <f t="shared" si="19"/>
        <v>Good</v>
      </c>
    </row>
    <row r="291" spans="1:13" x14ac:dyDescent="0.35">
      <c r="A291" t="s">
        <v>327</v>
      </c>
      <c r="B291" t="s">
        <v>54</v>
      </c>
      <c r="C291" t="s">
        <v>31</v>
      </c>
      <c r="D291" t="s">
        <v>47</v>
      </c>
      <c r="E291" t="s">
        <v>22</v>
      </c>
      <c r="F291">
        <v>37</v>
      </c>
      <c r="G291" s="9">
        <v>6850</v>
      </c>
      <c r="H291" s="10">
        <v>3</v>
      </c>
      <c r="I291" s="10">
        <v>72</v>
      </c>
      <c r="J291" t="str">
        <f t="shared" si="16"/>
        <v>21-40</v>
      </c>
      <c r="K291" t="str">
        <f t="shared" si="17"/>
        <v>Adult</v>
      </c>
      <c r="L291" t="str">
        <f t="shared" si="18"/>
        <v>Low Cost</v>
      </c>
      <c r="M291" t="str">
        <f t="shared" si="19"/>
        <v>Good</v>
      </c>
    </row>
    <row r="292" spans="1:13" x14ac:dyDescent="0.35">
      <c r="A292" t="s">
        <v>328</v>
      </c>
      <c r="B292" t="s">
        <v>30</v>
      </c>
      <c r="C292" t="s">
        <v>31</v>
      </c>
      <c r="D292" t="s">
        <v>39</v>
      </c>
      <c r="E292" t="s">
        <v>22</v>
      </c>
      <c r="F292">
        <v>69</v>
      </c>
      <c r="G292" s="9">
        <v>3221</v>
      </c>
      <c r="H292" s="10">
        <v>10</v>
      </c>
      <c r="I292" s="10">
        <v>94</v>
      </c>
      <c r="J292" t="str">
        <f t="shared" si="16"/>
        <v>61+</v>
      </c>
      <c r="K292" t="str">
        <f t="shared" si="17"/>
        <v>Elderly</v>
      </c>
      <c r="L292" t="str">
        <f t="shared" si="18"/>
        <v>Low Cost</v>
      </c>
      <c r="M292" t="str">
        <f t="shared" si="19"/>
        <v>Excellent</v>
      </c>
    </row>
    <row r="293" spans="1:13" x14ac:dyDescent="0.35">
      <c r="A293" t="s">
        <v>329</v>
      </c>
      <c r="B293" t="s">
        <v>49</v>
      </c>
      <c r="C293" t="s">
        <v>45</v>
      </c>
      <c r="D293" t="s">
        <v>36</v>
      </c>
      <c r="E293" t="s">
        <v>18</v>
      </c>
      <c r="F293">
        <v>76</v>
      </c>
      <c r="G293" s="9">
        <v>2460</v>
      </c>
      <c r="H293" s="10">
        <v>2</v>
      </c>
      <c r="I293" s="10">
        <v>53</v>
      </c>
      <c r="J293" t="str">
        <f t="shared" si="16"/>
        <v>61+</v>
      </c>
      <c r="K293" t="str">
        <f t="shared" si="17"/>
        <v>Elderly</v>
      </c>
      <c r="L293" t="str">
        <f t="shared" si="18"/>
        <v>Low Cost</v>
      </c>
      <c r="M293" t="str">
        <f t="shared" si="19"/>
        <v>Poor</v>
      </c>
    </row>
    <row r="294" spans="1:13" x14ac:dyDescent="0.35">
      <c r="A294" t="s">
        <v>330</v>
      </c>
      <c r="B294" t="s">
        <v>15</v>
      </c>
      <c r="C294" t="s">
        <v>45</v>
      </c>
      <c r="D294" t="s">
        <v>65</v>
      </c>
      <c r="E294" t="s">
        <v>22</v>
      </c>
      <c r="F294">
        <v>53</v>
      </c>
      <c r="G294" s="9">
        <v>3205</v>
      </c>
      <c r="H294" s="10">
        <v>4</v>
      </c>
      <c r="I294" s="10">
        <v>56</v>
      </c>
      <c r="J294" t="str">
        <f t="shared" si="16"/>
        <v>41-60</v>
      </c>
      <c r="K294" t="str">
        <f t="shared" si="17"/>
        <v>Middle Age</v>
      </c>
      <c r="L294" t="str">
        <f t="shared" si="18"/>
        <v>Low Cost</v>
      </c>
      <c r="M294" t="str">
        <f t="shared" si="19"/>
        <v>Poor</v>
      </c>
    </row>
    <row r="295" spans="1:13" x14ac:dyDescent="0.35">
      <c r="A295" t="s">
        <v>331</v>
      </c>
      <c r="B295" t="s">
        <v>15</v>
      </c>
      <c r="C295" t="s">
        <v>45</v>
      </c>
      <c r="D295" t="s">
        <v>17</v>
      </c>
      <c r="E295" t="s">
        <v>18</v>
      </c>
      <c r="F295">
        <v>21</v>
      </c>
      <c r="G295" s="9">
        <v>3833</v>
      </c>
      <c r="H295" s="10">
        <v>4</v>
      </c>
      <c r="I295" s="10">
        <v>80</v>
      </c>
      <c r="J295" t="str">
        <f t="shared" si="16"/>
        <v>21-40</v>
      </c>
      <c r="K295" t="str">
        <f t="shared" si="17"/>
        <v>Youth</v>
      </c>
      <c r="L295" t="str">
        <f t="shared" si="18"/>
        <v>Low Cost</v>
      </c>
      <c r="M295" t="str">
        <f t="shared" si="19"/>
        <v>Excellent</v>
      </c>
    </row>
    <row r="296" spans="1:13" x14ac:dyDescent="0.35">
      <c r="A296" t="s">
        <v>332</v>
      </c>
      <c r="B296" t="s">
        <v>15</v>
      </c>
      <c r="C296" t="s">
        <v>45</v>
      </c>
      <c r="D296" t="s">
        <v>32</v>
      </c>
      <c r="E296" t="s">
        <v>22</v>
      </c>
      <c r="F296">
        <v>83</v>
      </c>
      <c r="G296" s="9">
        <v>984</v>
      </c>
      <c r="H296" s="10">
        <v>1</v>
      </c>
      <c r="I296" s="10">
        <v>91</v>
      </c>
      <c r="J296" t="str">
        <f t="shared" si="16"/>
        <v>61+</v>
      </c>
      <c r="K296" t="str">
        <f t="shared" si="17"/>
        <v>Elderly</v>
      </c>
      <c r="L296" t="str">
        <f t="shared" si="18"/>
        <v>Low Cost</v>
      </c>
      <c r="M296" t="str">
        <f t="shared" si="19"/>
        <v>Excellent</v>
      </c>
    </row>
    <row r="297" spans="1:13" x14ac:dyDescent="0.35">
      <c r="A297" t="s">
        <v>333</v>
      </c>
      <c r="B297" t="s">
        <v>24</v>
      </c>
      <c r="C297" t="s">
        <v>45</v>
      </c>
      <c r="D297" t="s">
        <v>25</v>
      </c>
      <c r="E297" t="s">
        <v>18</v>
      </c>
      <c r="F297">
        <v>5</v>
      </c>
      <c r="G297" s="9">
        <v>1934</v>
      </c>
      <c r="H297" s="10">
        <v>4</v>
      </c>
      <c r="I297" s="10">
        <v>61</v>
      </c>
      <c r="J297" t="str">
        <f t="shared" si="16"/>
        <v>0-20</v>
      </c>
      <c r="K297" t="str">
        <f t="shared" si="17"/>
        <v>Infant</v>
      </c>
      <c r="L297" t="str">
        <f t="shared" si="18"/>
        <v>Low Cost</v>
      </c>
      <c r="M297" t="str">
        <f t="shared" si="19"/>
        <v>Good</v>
      </c>
    </row>
    <row r="298" spans="1:13" x14ac:dyDescent="0.35">
      <c r="A298" t="s">
        <v>334</v>
      </c>
      <c r="B298" t="s">
        <v>20</v>
      </c>
      <c r="C298" t="s">
        <v>28</v>
      </c>
      <c r="D298" t="s">
        <v>39</v>
      </c>
      <c r="E298" t="s">
        <v>22</v>
      </c>
      <c r="F298">
        <v>38</v>
      </c>
      <c r="G298" s="9">
        <v>1995</v>
      </c>
      <c r="H298" s="10">
        <v>1</v>
      </c>
      <c r="I298" s="10">
        <v>50</v>
      </c>
      <c r="J298" t="str">
        <f t="shared" si="16"/>
        <v>21-40</v>
      </c>
      <c r="K298" t="str">
        <f t="shared" si="17"/>
        <v>Adult</v>
      </c>
      <c r="L298" t="str">
        <f t="shared" si="18"/>
        <v>Low Cost</v>
      </c>
      <c r="M298" t="str">
        <f t="shared" si="19"/>
        <v>Poor</v>
      </c>
    </row>
    <row r="299" spans="1:13" x14ac:dyDescent="0.35">
      <c r="A299" t="s">
        <v>335</v>
      </c>
      <c r="B299" t="s">
        <v>49</v>
      </c>
      <c r="C299" t="s">
        <v>16</v>
      </c>
      <c r="D299" t="s">
        <v>34</v>
      </c>
      <c r="E299" t="s">
        <v>22</v>
      </c>
      <c r="F299">
        <v>83</v>
      </c>
      <c r="G299" s="9">
        <v>13901</v>
      </c>
      <c r="H299" s="10">
        <v>13</v>
      </c>
      <c r="I299" s="10">
        <v>81</v>
      </c>
      <c r="J299" t="str">
        <f t="shared" si="16"/>
        <v>61+</v>
      </c>
      <c r="K299" t="str">
        <f t="shared" si="17"/>
        <v>Elderly</v>
      </c>
      <c r="L299" t="str">
        <f t="shared" si="18"/>
        <v>High Cost</v>
      </c>
      <c r="M299" t="str">
        <f t="shared" si="19"/>
        <v>Excellent</v>
      </c>
    </row>
    <row r="300" spans="1:13" x14ac:dyDescent="0.35">
      <c r="A300" t="s">
        <v>336</v>
      </c>
      <c r="B300" t="s">
        <v>27</v>
      </c>
      <c r="C300" t="s">
        <v>28</v>
      </c>
      <c r="D300" t="s">
        <v>32</v>
      </c>
      <c r="E300" t="s">
        <v>22</v>
      </c>
      <c r="F300">
        <v>15</v>
      </c>
      <c r="G300" s="9">
        <v>877</v>
      </c>
      <c r="H300" s="10">
        <v>1</v>
      </c>
      <c r="I300" s="10">
        <v>96</v>
      </c>
      <c r="J300" t="str">
        <f t="shared" si="16"/>
        <v>0-20</v>
      </c>
      <c r="K300" t="str">
        <f t="shared" si="17"/>
        <v>Teenager</v>
      </c>
      <c r="L300" t="str">
        <f t="shared" si="18"/>
        <v>Low Cost</v>
      </c>
      <c r="M300" t="str">
        <f t="shared" si="19"/>
        <v>Excellent</v>
      </c>
    </row>
    <row r="301" spans="1:13" x14ac:dyDescent="0.35">
      <c r="A301" t="s">
        <v>337</v>
      </c>
      <c r="B301" t="s">
        <v>30</v>
      </c>
      <c r="C301" t="s">
        <v>31</v>
      </c>
      <c r="D301" t="s">
        <v>47</v>
      </c>
      <c r="E301" t="s">
        <v>22</v>
      </c>
      <c r="F301">
        <v>44</v>
      </c>
      <c r="G301" s="9">
        <v>3416</v>
      </c>
      <c r="H301" s="10">
        <v>5</v>
      </c>
      <c r="I301" s="10">
        <v>61</v>
      </c>
      <c r="J301" t="str">
        <f t="shared" si="16"/>
        <v>41-60</v>
      </c>
      <c r="K301" t="str">
        <f t="shared" si="17"/>
        <v>Adult</v>
      </c>
      <c r="L301" t="str">
        <f t="shared" si="18"/>
        <v>Low Cost</v>
      </c>
      <c r="M301" t="str">
        <f t="shared" si="19"/>
        <v>Good</v>
      </c>
    </row>
    <row r="302" spans="1:13" x14ac:dyDescent="0.35">
      <c r="A302" t="s">
        <v>338</v>
      </c>
      <c r="B302" t="s">
        <v>24</v>
      </c>
      <c r="C302" t="s">
        <v>28</v>
      </c>
      <c r="D302" t="s">
        <v>52</v>
      </c>
      <c r="E302" t="s">
        <v>18</v>
      </c>
      <c r="F302">
        <v>12</v>
      </c>
      <c r="G302" s="9">
        <v>1020</v>
      </c>
      <c r="H302" s="10">
        <v>3</v>
      </c>
      <c r="I302" s="10">
        <v>56</v>
      </c>
      <c r="J302" t="str">
        <f t="shared" si="16"/>
        <v>0-20</v>
      </c>
      <c r="K302" t="str">
        <f t="shared" si="17"/>
        <v>Child</v>
      </c>
      <c r="L302" t="str">
        <f t="shared" si="18"/>
        <v>Low Cost</v>
      </c>
      <c r="M302" t="str">
        <f t="shared" si="19"/>
        <v>Poor</v>
      </c>
    </row>
    <row r="303" spans="1:13" x14ac:dyDescent="0.35">
      <c r="A303" t="s">
        <v>339</v>
      </c>
      <c r="B303" t="s">
        <v>27</v>
      </c>
      <c r="C303" t="s">
        <v>45</v>
      </c>
      <c r="D303" t="s">
        <v>39</v>
      </c>
      <c r="E303" t="s">
        <v>22</v>
      </c>
      <c r="F303">
        <v>32</v>
      </c>
      <c r="G303" s="9">
        <v>555</v>
      </c>
      <c r="H303" s="10">
        <v>3</v>
      </c>
      <c r="I303" s="10">
        <v>74</v>
      </c>
      <c r="J303" t="str">
        <f t="shared" si="16"/>
        <v>21-40</v>
      </c>
      <c r="K303" t="str">
        <f t="shared" si="17"/>
        <v>Adult</v>
      </c>
      <c r="L303" t="str">
        <f t="shared" si="18"/>
        <v>Low Cost</v>
      </c>
      <c r="M303" t="str">
        <f t="shared" si="19"/>
        <v>Good</v>
      </c>
    </row>
    <row r="304" spans="1:13" x14ac:dyDescent="0.35">
      <c r="A304" t="s">
        <v>340</v>
      </c>
      <c r="B304" t="s">
        <v>27</v>
      </c>
      <c r="C304" t="s">
        <v>28</v>
      </c>
      <c r="D304" t="s">
        <v>32</v>
      </c>
      <c r="E304" t="s">
        <v>18</v>
      </c>
      <c r="F304">
        <v>39</v>
      </c>
      <c r="G304" s="9">
        <v>1392</v>
      </c>
      <c r="H304" s="10">
        <v>3</v>
      </c>
      <c r="I304" s="10">
        <v>86</v>
      </c>
      <c r="J304" t="str">
        <f t="shared" si="16"/>
        <v>21-40</v>
      </c>
      <c r="K304" t="str">
        <f t="shared" si="17"/>
        <v>Adult</v>
      </c>
      <c r="L304" t="str">
        <f t="shared" si="18"/>
        <v>Low Cost</v>
      </c>
      <c r="M304" t="str">
        <f t="shared" si="19"/>
        <v>Excellent</v>
      </c>
    </row>
    <row r="305" spans="1:13" x14ac:dyDescent="0.35">
      <c r="A305" t="s">
        <v>341</v>
      </c>
      <c r="B305" t="s">
        <v>20</v>
      </c>
      <c r="C305" t="s">
        <v>31</v>
      </c>
      <c r="D305" t="s">
        <v>34</v>
      </c>
      <c r="E305" t="s">
        <v>18</v>
      </c>
      <c r="F305">
        <v>8</v>
      </c>
      <c r="G305" s="9">
        <v>6470</v>
      </c>
      <c r="H305" s="10">
        <v>3</v>
      </c>
      <c r="I305" s="10">
        <v>79</v>
      </c>
      <c r="J305" t="str">
        <f t="shared" si="16"/>
        <v>0-20</v>
      </c>
      <c r="K305" t="str">
        <f t="shared" si="17"/>
        <v>Child</v>
      </c>
      <c r="L305" t="str">
        <f t="shared" si="18"/>
        <v>Low Cost</v>
      </c>
      <c r="M305" t="str">
        <f t="shared" si="19"/>
        <v>Good</v>
      </c>
    </row>
    <row r="306" spans="1:13" x14ac:dyDescent="0.35">
      <c r="A306" t="s">
        <v>342</v>
      </c>
      <c r="B306" t="s">
        <v>49</v>
      </c>
      <c r="C306" t="s">
        <v>45</v>
      </c>
      <c r="D306" t="s">
        <v>52</v>
      </c>
      <c r="E306" t="s">
        <v>18</v>
      </c>
      <c r="F306">
        <v>40</v>
      </c>
      <c r="G306" s="9">
        <v>1461</v>
      </c>
      <c r="H306" s="10">
        <v>3</v>
      </c>
      <c r="I306" s="10">
        <v>73</v>
      </c>
      <c r="J306" t="str">
        <f t="shared" si="16"/>
        <v>21-40</v>
      </c>
      <c r="K306" t="str">
        <f t="shared" si="17"/>
        <v>Adult</v>
      </c>
      <c r="L306" t="str">
        <f t="shared" si="18"/>
        <v>Low Cost</v>
      </c>
      <c r="M306" t="str">
        <f t="shared" si="19"/>
        <v>Good</v>
      </c>
    </row>
    <row r="307" spans="1:13" x14ac:dyDescent="0.35">
      <c r="A307" t="s">
        <v>343</v>
      </c>
      <c r="B307" t="s">
        <v>24</v>
      </c>
      <c r="C307" t="s">
        <v>45</v>
      </c>
      <c r="D307" t="s">
        <v>65</v>
      </c>
      <c r="E307" t="s">
        <v>18</v>
      </c>
      <c r="F307">
        <v>62</v>
      </c>
      <c r="G307" s="9">
        <v>1754</v>
      </c>
      <c r="H307" s="10">
        <v>4</v>
      </c>
      <c r="I307" s="10">
        <v>97</v>
      </c>
      <c r="J307" t="str">
        <f t="shared" si="16"/>
        <v>61+</v>
      </c>
      <c r="K307" t="str">
        <f t="shared" si="17"/>
        <v>Elderly</v>
      </c>
      <c r="L307" t="str">
        <f t="shared" si="18"/>
        <v>Low Cost</v>
      </c>
      <c r="M307" t="str">
        <f t="shared" si="19"/>
        <v>Excellent</v>
      </c>
    </row>
    <row r="308" spans="1:13" x14ac:dyDescent="0.35">
      <c r="A308" t="s">
        <v>344</v>
      </c>
      <c r="B308" t="s">
        <v>24</v>
      </c>
      <c r="C308" t="s">
        <v>31</v>
      </c>
      <c r="D308" t="s">
        <v>52</v>
      </c>
      <c r="E308" t="s">
        <v>18</v>
      </c>
      <c r="F308">
        <v>61</v>
      </c>
      <c r="G308" s="9">
        <v>5403</v>
      </c>
      <c r="H308" s="10">
        <v>5</v>
      </c>
      <c r="I308" s="10">
        <v>98</v>
      </c>
      <c r="J308" t="str">
        <f t="shared" si="16"/>
        <v>61+</v>
      </c>
      <c r="K308" t="str">
        <f t="shared" si="17"/>
        <v>Elderly</v>
      </c>
      <c r="L308" t="str">
        <f t="shared" si="18"/>
        <v>Low Cost</v>
      </c>
      <c r="M308" t="str">
        <f t="shared" si="19"/>
        <v>Excellent</v>
      </c>
    </row>
    <row r="309" spans="1:13" x14ac:dyDescent="0.35">
      <c r="A309" t="s">
        <v>345</v>
      </c>
      <c r="B309" t="s">
        <v>27</v>
      </c>
      <c r="C309" t="s">
        <v>16</v>
      </c>
      <c r="D309" t="s">
        <v>25</v>
      </c>
      <c r="E309" t="s">
        <v>22</v>
      </c>
      <c r="F309">
        <v>47</v>
      </c>
      <c r="G309" s="9">
        <v>6279</v>
      </c>
      <c r="H309" s="10">
        <v>14</v>
      </c>
      <c r="I309" s="10">
        <v>57</v>
      </c>
      <c r="J309" t="str">
        <f t="shared" si="16"/>
        <v>41-60</v>
      </c>
      <c r="K309" t="str">
        <f t="shared" si="17"/>
        <v>Middle Age</v>
      </c>
      <c r="L309" t="str">
        <f t="shared" si="18"/>
        <v>Low Cost</v>
      </c>
      <c r="M309" t="str">
        <f t="shared" si="19"/>
        <v>Poor</v>
      </c>
    </row>
    <row r="310" spans="1:13" x14ac:dyDescent="0.35">
      <c r="A310" t="s">
        <v>346</v>
      </c>
      <c r="B310" t="s">
        <v>20</v>
      </c>
      <c r="C310" t="s">
        <v>45</v>
      </c>
      <c r="D310" t="s">
        <v>21</v>
      </c>
      <c r="E310" t="s">
        <v>18</v>
      </c>
      <c r="F310">
        <v>22</v>
      </c>
      <c r="G310" s="9">
        <v>3187</v>
      </c>
      <c r="H310" s="10">
        <v>5</v>
      </c>
      <c r="I310" s="10">
        <v>78</v>
      </c>
      <c r="J310" t="str">
        <f t="shared" si="16"/>
        <v>21-40</v>
      </c>
      <c r="K310" t="str">
        <f t="shared" si="17"/>
        <v>Youth</v>
      </c>
      <c r="L310" t="str">
        <f t="shared" si="18"/>
        <v>Low Cost</v>
      </c>
      <c r="M310" t="str">
        <f t="shared" si="19"/>
        <v>Good</v>
      </c>
    </row>
    <row r="311" spans="1:13" x14ac:dyDescent="0.35">
      <c r="A311" t="s">
        <v>347</v>
      </c>
      <c r="B311" t="s">
        <v>20</v>
      </c>
      <c r="C311" t="s">
        <v>45</v>
      </c>
      <c r="D311" t="s">
        <v>21</v>
      </c>
      <c r="E311" t="s">
        <v>22</v>
      </c>
      <c r="F311">
        <v>66</v>
      </c>
      <c r="G311" s="9">
        <v>4149</v>
      </c>
      <c r="H311" s="10">
        <v>1</v>
      </c>
      <c r="I311" s="10">
        <v>79</v>
      </c>
      <c r="J311" t="str">
        <f t="shared" si="16"/>
        <v>61+</v>
      </c>
      <c r="K311" t="str">
        <f t="shared" si="17"/>
        <v>Elderly</v>
      </c>
      <c r="L311" t="str">
        <f t="shared" si="18"/>
        <v>Low Cost</v>
      </c>
      <c r="M311" t="str">
        <f t="shared" si="19"/>
        <v>Good</v>
      </c>
    </row>
    <row r="312" spans="1:13" x14ac:dyDescent="0.35">
      <c r="A312" t="s">
        <v>348</v>
      </c>
      <c r="B312" t="s">
        <v>27</v>
      </c>
      <c r="C312" t="s">
        <v>28</v>
      </c>
      <c r="D312" t="s">
        <v>39</v>
      </c>
      <c r="E312" t="s">
        <v>18</v>
      </c>
      <c r="F312">
        <v>72</v>
      </c>
      <c r="G312" s="9">
        <v>1146</v>
      </c>
      <c r="H312" s="10">
        <v>3</v>
      </c>
      <c r="I312" s="10">
        <v>69</v>
      </c>
      <c r="J312" t="str">
        <f t="shared" si="16"/>
        <v>61+</v>
      </c>
      <c r="K312" t="str">
        <f t="shared" si="17"/>
        <v>Elderly</v>
      </c>
      <c r="L312" t="str">
        <f t="shared" si="18"/>
        <v>Low Cost</v>
      </c>
      <c r="M312" t="str">
        <f t="shared" si="19"/>
        <v>Good</v>
      </c>
    </row>
    <row r="313" spans="1:13" x14ac:dyDescent="0.35">
      <c r="A313" t="s">
        <v>349</v>
      </c>
      <c r="B313" t="s">
        <v>15</v>
      </c>
      <c r="C313" t="s">
        <v>16</v>
      </c>
      <c r="D313" t="s">
        <v>52</v>
      </c>
      <c r="E313" t="s">
        <v>22</v>
      </c>
      <c r="F313">
        <v>1</v>
      </c>
      <c r="G313" s="9">
        <v>17219</v>
      </c>
      <c r="H313" s="10">
        <v>8</v>
      </c>
      <c r="I313" s="10">
        <v>87</v>
      </c>
      <c r="J313" t="str">
        <f t="shared" si="16"/>
        <v>0-20</v>
      </c>
      <c r="K313" t="str">
        <f t="shared" si="17"/>
        <v>Infant</v>
      </c>
      <c r="L313" t="str">
        <f t="shared" si="18"/>
        <v>High Cost</v>
      </c>
      <c r="M313" t="str">
        <f t="shared" si="19"/>
        <v>Excellent</v>
      </c>
    </row>
    <row r="314" spans="1:13" x14ac:dyDescent="0.35">
      <c r="A314" t="s">
        <v>350</v>
      </c>
      <c r="B314" t="s">
        <v>20</v>
      </c>
      <c r="C314" t="s">
        <v>16</v>
      </c>
      <c r="D314" t="s">
        <v>52</v>
      </c>
      <c r="E314" t="s">
        <v>22</v>
      </c>
      <c r="F314">
        <v>9</v>
      </c>
      <c r="G314" s="9">
        <v>13866</v>
      </c>
      <c r="H314" s="10">
        <v>5</v>
      </c>
      <c r="I314" s="10">
        <v>54</v>
      </c>
      <c r="J314" t="str">
        <f t="shared" si="16"/>
        <v>0-20</v>
      </c>
      <c r="K314" t="str">
        <f t="shared" si="17"/>
        <v>Child</v>
      </c>
      <c r="L314" t="str">
        <f t="shared" si="18"/>
        <v>High Cost</v>
      </c>
      <c r="M314" t="str">
        <f t="shared" si="19"/>
        <v>Poor</v>
      </c>
    </row>
    <row r="315" spans="1:13" x14ac:dyDescent="0.35">
      <c r="A315" t="s">
        <v>351</v>
      </c>
      <c r="B315" t="s">
        <v>30</v>
      </c>
      <c r="C315" t="s">
        <v>16</v>
      </c>
      <c r="D315" t="s">
        <v>32</v>
      </c>
      <c r="E315" t="s">
        <v>22</v>
      </c>
      <c r="F315">
        <v>18</v>
      </c>
      <c r="G315" s="9">
        <v>17547</v>
      </c>
      <c r="H315" s="10">
        <v>15</v>
      </c>
      <c r="I315" s="10">
        <v>96</v>
      </c>
      <c r="J315" t="str">
        <f t="shared" si="16"/>
        <v>0-20</v>
      </c>
      <c r="K315" t="str">
        <f t="shared" si="17"/>
        <v>Teenager</v>
      </c>
      <c r="L315" t="str">
        <f t="shared" si="18"/>
        <v>High Cost</v>
      </c>
      <c r="M315" t="str">
        <f t="shared" si="19"/>
        <v>Excellent</v>
      </c>
    </row>
    <row r="316" spans="1:13" x14ac:dyDescent="0.35">
      <c r="A316" t="s">
        <v>352</v>
      </c>
      <c r="B316" t="s">
        <v>15</v>
      </c>
      <c r="C316" t="s">
        <v>28</v>
      </c>
      <c r="D316" t="s">
        <v>34</v>
      </c>
      <c r="E316" t="s">
        <v>42</v>
      </c>
      <c r="F316">
        <v>49</v>
      </c>
      <c r="G316" s="9">
        <v>1118</v>
      </c>
      <c r="H316" s="10">
        <v>2</v>
      </c>
      <c r="I316" s="10">
        <v>74</v>
      </c>
      <c r="J316" t="str">
        <f t="shared" si="16"/>
        <v>41-60</v>
      </c>
      <c r="K316" t="str">
        <f t="shared" si="17"/>
        <v>Middle Age</v>
      </c>
      <c r="L316" t="str">
        <f t="shared" si="18"/>
        <v>Low Cost</v>
      </c>
      <c r="M316" t="str">
        <f t="shared" si="19"/>
        <v>Good</v>
      </c>
    </row>
    <row r="317" spans="1:13" x14ac:dyDescent="0.35">
      <c r="A317" t="s">
        <v>353</v>
      </c>
      <c r="B317" t="s">
        <v>20</v>
      </c>
      <c r="C317" t="s">
        <v>45</v>
      </c>
      <c r="D317" t="s">
        <v>34</v>
      </c>
      <c r="E317" t="s">
        <v>22</v>
      </c>
      <c r="F317">
        <v>69</v>
      </c>
      <c r="G317" s="9">
        <v>3719</v>
      </c>
      <c r="H317" s="10">
        <v>5</v>
      </c>
      <c r="I317" s="10">
        <v>58</v>
      </c>
      <c r="J317" t="str">
        <f t="shared" si="16"/>
        <v>61+</v>
      </c>
      <c r="K317" t="str">
        <f t="shared" si="17"/>
        <v>Elderly</v>
      </c>
      <c r="L317" t="str">
        <f t="shared" si="18"/>
        <v>Low Cost</v>
      </c>
      <c r="M317" t="str">
        <f t="shared" si="19"/>
        <v>Poor</v>
      </c>
    </row>
    <row r="318" spans="1:13" x14ac:dyDescent="0.35">
      <c r="A318" t="s">
        <v>354</v>
      </c>
      <c r="B318" t="s">
        <v>15</v>
      </c>
      <c r="C318" t="s">
        <v>45</v>
      </c>
      <c r="D318" t="s">
        <v>17</v>
      </c>
      <c r="E318" t="s">
        <v>18</v>
      </c>
      <c r="F318">
        <v>39</v>
      </c>
      <c r="G318" s="9">
        <v>4292</v>
      </c>
      <c r="H318" s="10">
        <v>5</v>
      </c>
      <c r="I318" s="10">
        <v>77</v>
      </c>
      <c r="J318" t="str">
        <f t="shared" si="16"/>
        <v>21-40</v>
      </c>
      <c r="K318" t="str">
        <f t="shared" si="17"/>
        <v>Adult</v>
      </c>
      <c r="L318" t="str">
        <f t="shared" si="18"/>
        <v>Low Cost</v>
      </c>
      <c r="M318" t="str">
        <f t="shared" si="19"/>
        <v>Good</v>
      </c>
    </row>
    <row r="319" spans="1:13" x14ac:dyDescent="0.35">
      <c r="A319" t="s">
        <v>355</v>
      </c>
      <c r="B319" t="s">
        <v>24</v>
      </c>
      <c r="C319" t="s">
        <v>28</v>
      </c>
      <c r="D319" t="s">
        <v>65</v>
      </c>
      <c r="E319" t="s">
        <v>22</v>
      </c>
      <c r="F319">
        <v>45</v>
      </c>
      <c r="G319" s="9">
        <v>517</v>
      </c>
      <c r="H319" s="10">
        <v>2</v>
      </c>
      <c r="I319" s="10">
        <v>62</v>
      </c>
      <c r="J319" t="str">
        <f t="shared" si="16"/>
        <v>41-60</v>
      </c>
      <c r="K319" t="str">
        <f t="shared" si="17"/>
        <v>Middle Age</v>
      </c>
      <c r="L319" t="str">
        <f t="shared" si="18"/>
        <v>Low Cost</v>
      </c>
      <c r="M319" t="str">
        <f t="shared" si="19"/>
        <v>Good</v>
      </c>
    </row>
    <row r="320" spans="1:13" x14ac:dyDescent="0.35">
      <c r="A320" t="s">
        <v>356</v>
      </c>
      <c r="B320" t="s">
        <v>15</v>
      </c>
      <c r="C320" t="s">
        <v>16</v>
      </c>
      <c r="D320" t="s">
        <v>17</v>
      </c>
      <c r="E320" t="s">
        <v>18</v>
      </c>
      <c r="F320">
        <v>54</v>
      </c>
      <c r="G320" s="9">
        <v>15074</v>
      </c>
      <c r="H320" s="10">
        <v>5</v>
      </c>
      <c r="I320" s="10">
        <v>65</v>
      </c>
      <c r="J320" t="str">
        <f t="shared" si="16"/>
        <v>41-60</v>
      </c>
      <c r="K320" t="str">
        <f t="shared" si="17"/>
        <v>Middle Age</v>
      </c>
      <c r="L320" t="str">
        <f t="shared" si="18"/>
        <v>High Cost</v>
      </c>
      <c r="M320" t="str">
        <f t="shared" si="19"/>
        <v>Good</v>
      </c>
    </row>
    <row r="321" spans="1:13" x14ac:dyDescent="0.35">
      <c r="A321" t="s">
        <v>357</v>
      </c>
      <c r="B321" t="s">
        <v>27</v>
      </c>
      <c r="C321" t="s">
        <v>16</v>
      </c>
      <c r="D321" t="s">
        <v>36</v>
      </c>
      <c r="E321" t="s">
        <v>18</v>
      </c>
      <c r="F321">
        <v>58</v>
      </c>
      <c r="G321" s="9">
        <v>14794</v>
      </c>
      <c r="H321" s="10">
        <v>15</v>
      </c>
      <c r="I321" s="10">
        <v>95</v>
      </c>
      <c r="J321" t="str">
        <f t="shared" si="16"/>
        <v>41-60</v>
      </c>
      <c r="K321" t="str">
        <f t="shared" si="17"/>
        <v>Middle Age</v>
      </c>
      <c r="L321" t="str">
        <f t="shared" si="18"/>
        <v>High Cost</v>
      </c>
      <c r="M321" t="str">
        <f t="shared" si="19"/>
        <v>Excellent</v>
      </c>
    </row>
    <row r="322" spans="1:13" x14ac:dyDescent="0.35">
      <c r="A322" t="s">
        <v>358</v>
      </c>
      <c r="B322" t="s">
        <v>54</v>
      </c>
      <c r="C322" t="s">
        <v>16</v>
      </c>
      <c r="D322" t="s">
        <v>65</v>
      </c>
      <c r="E322" t="s">
        <v>18</v>
      </c>
      <c r="F322">
        <v>52</v>
      </c>
      <c r="G322" s="9">
        <v>12191</v>
      </c>
      <c r="H322" s="10">
        <v>8</v>
      </c>
      <c r="I322" s="10">
        <v>84</v>
      </c>
      <c r="J322" t="str">
        <f t="shared" ref="J322:J385" si="20">IF(F322&lt;=20,"0-20",IF(F322&lt;=40,"21-40",IF(F322&lt;=60,"41-60","61+")))</f>
        <v>41-60</v>
      </c>
      <c r="K322" t="str">
        <f t="shared" ref="K322:K385" si="21">IF(F322&lt;=5,"Infant",IF(F322&lt;=12,"Child",IF(F322&lt;=19,"Teenager",IF(F322&lt;=29,"Youth",IF(F322&lt;=44,"Adult",IF(F322&lt;=60,"Middle Age",IF(F322&gt;60,"Elderly")))))))</f>
        <v>Middle Age</v>
      </c>
      <c r="L322" t="str">
        <f t="shared" ref="L322:L385" si="22">IF(G322&gt;=7500,"High Cost","Low Cost")</f>
        <v>High Cost</v>
      </c>
      <c r="M322" t="str">
        <f t="shared" ref="M322:M385" si="23">IF(I322&gt;=80,"Excellent",IF(I322&gt;=60,"Good","Poor"))</f>
        <v>Excellent</v>
      </c>
    </row>
    <row r="323" spans="1:13" x14ac:dyDescent="0.35">
      <c r="A323" t="s">
        <v>359</v>
      </c>
      <c r="B323" t="s">
        <v>27</v>
      </c>
      <c r="C323" t="s">
        <v>16</v>
      </c>
      <c r="D323" t="s">
        <v>47</v>
      </c>
      <c r="E323" t="s">
        <v>18</v>
      </c>
      <c r="F323">
        <v>38</v>
      </c>
      <c r="G323" s="9">
        <v>8836</v>
      </c>
      <c r="H323" s="10">
        <v>14</v>
      </c>
      <c r="I323" s="10">
        <v>70</v>
      </c>
      <c r="J323" t="str">
        <f t="shared" si="20"/>
        <v>21-40</v>
      </c>
      <c r="K323" t="str">
        <f t="shared" si="21"/>
        <v>Adult</v>
      </c>
      <c r="L323" t="str">
        <f t="shared" si="22"/>
        <v>High Cost</v>
      </c>
      <c r="M323" t="str">
        <f t="shared" si="23"/>
        <v>Good</v>
      </c>
    </row>
    <row r="324" spans="1:13" x14ac:dyDescent="0.35">
      <c r="A324" t="s">
        <v>360</v>
      </c>
      <c r="B324" t="s">
        <v>24</v>
      </c>
      <c r="C324" t="s">
        <v>31</v>
      </c>
      <c r="D324" t="s">
        <v>65</v>
      </c>
      <c r="E324" t="s">
        <v>22</v>
      </c>
      <c r="F324">
        <v>19</v>
      </c>
      <c r="G324" s="9">
        <v>6408</v>
      </c>
      <c r="H324" s="10">
        <v>10</v>
      </c>
      <c r="I324" s="10">
        <v>64</v>
      </c>
      <c r="J324" t="str">
        <f t="shared" si="20"/>
        <v>0-20</v>
      </c>
      <c r="K324" t="str">
        <f t="shared" si="21"/>
        <v>Teenager</v>
      </c>
      <c r="L324" t="str">
        <f t="shared" si="22"/>
        <v>Low Cost</v>
      </c>
      <c r="M324" t="str">
        <f t="shared" si="23"/>
        <v>Good</v>
      </c>
    </row>
    <row r="325" spans="1:13" x14ac:dyDescent="0.35">
      <c r="A325" t="s">
        <v>361</v>
      </c>
      <c r="B325" t="s">
        <v>30</v>
      </c>
      <c r="C325" t="s">
        <v>31</v>
      </c>
      <c r="D325" t="s">
        <v>32</v>
      </c>
      <c r="E325" t="s">
        <v>22</v>
      </c>
      <c r="F325">
        <v>76</v>
      </c>
      <c r="G325" s="9">
        <v>2434</v>
      </c>
      <c r="H325" s="10">
        <v>8</v>
      </c>
      <c r="I325" s="10">
        <v>85</v>
      </c>
      <c r="J325" t="str">
        <f t="shared" si="20"/>
        <v>61+</v>
      </c>
      <c r="K325" t="str">
        <f t="shared" si="21"/>
        <v>Elderly</v>
      </c>
      <c r="L325" t="str">
        <f t="shared" si="22"/>
        <v>Low Cost</v>
      </c>
      <c r="M325" t="str">
        <f t="shared" si="23"/>
        <v>Excellent</v>
      </c>
    </row>
    <row r="326" spans="1:13" x14ac:dyDescent="0.35">
      <c r="A326" t="s">
        <v>362</v>
      </c>
      <c r="B326" t="s">
        <v>30</v>
      </c>
      <c r="C326" t="s">
        <v>16</v>
      </c>
      <c r="D326" t="s">
        <v>34</v>
      </c>
      <c r="E326" t="s">
        <v>18</v>
      </c>
      <c r="F326">
        <v>86</v>
      </c>
      <c r="G326" s="9">
        <v>11244</v>
      </c>
      <c r="H326" s="10">
        <v>13</v>
      </c>
      <c r="I326" s="10">
        <v>70</v>
      </c>
      <c r="J326" t="str">
        <f t="shared" si="20"/>
        <v>61+</v>
      </c>
      <c r="K326" t="str">
        <f t="shared" si="21"/>
        <v>Elderly</v>
      </c>
      <c r="L326" t="str">
        <f t="shared" si="22"/>
        <v>High Cost</v>
      </c>
      <c r="M326" t="str">
        <f t="shared" si="23"/>
        <v>Good</v>
      </c>
    </row>
    <row r="327" spans="1:13" x14ac:dyDescent="0.35">
      <c r="A327" t="s">
        <v>363</v>
      </c>
      <c r="B327" t="s">
        <v>15</v>
      </c>
      <c r="C327" t="s">
        <v>28</v>
      </c>
      <c r="D327" t="s">
        <v>52</v>
      </c>
      <c r="E327" t="s">
        <v>22</v>
      </c>
      <c r="F327">
        <v>49</v>
      </c>
      <c r="G327" s="9">
        <v>576</v>
      </c>
      <c r="H327" s="10">
        <v>3</v>
      </c>
      <c r="I327" s="10">
        <v>80</v>
      </c>
      <c r="J327" t="str">
        <f t="shared" si="20"/>
        <v>41-60</v>
      </c>
      <c r="K327" t="str">
        <f t="shared" si="21"/>
        <v>Middle Age</v>
      </c>
      <c r="L327" t="str">
        <f t="shared" si="22"/>
        <v>Low Cost</v>
      </c>
      <c r="M327" t="str">
        <f t="shared" si="23"/>
        <v>Excellent</v>
      </c>
    </row>
    <row r="328" spans="1:13" x14ac:dyDescent="0.35">
      <c r="A328" t="s">
        <v>364</v>
      </c>
      <c r="B328" t="s">
        <v>27</v>
      </c>
      <c r="C328" t="s">
        <v>45</v>
      </c>
      <c r="D328" t="s">
        <v>32</v>
      </c>
      <c r="E328" t="s">
        <v>18</v>
      </c>
      <c r="F328">
        <v>19</v>
      </c>
      <c r="G328" s="9">
        <v>4293</v>
      </c>
      <c r="H328" s="10">
        <v>1</v>
      </c>
      <c r="I328" s="10">
        <v>85</v>
      </c>
      <c r="J328" t="str">
        <f t="shared" si="20"/>
        <v>0-20</v>
      </c>
      <c r="K328" t="str">
        <f t="shared" si="21"/>
        <v>Teenager</v>
      </c>
      <c r="L328" t="str">
        <f t="shared" si="22"/>
        <v>Low Cost</v>
      </c>
      <c r="M328" t="str">
        <f t="shared" si="23"/>
        <v>Excellent</v>
      </c>
    </row>
    <row r="329" spans="1:13" x14ac:dyDescent="0.35">
      <c r="A329" t="s">
        <v>365</v>
      </c>
      <c r="B329" t="s">
        <v>30</v>
      </c>
      <c r="C329" t="s">
        <v>28</v>
      </c>
      <c r="D329" t="s">
        <v>25</v>
      </c>
      <c r="E329" t="s">
        <v>18</v>
      </c>
      <c r="F329">
        <v>50</v>
      </c>
      <c r="G329" s="9">
        <v>697</v>
      </c>
      <c r="H329" s="10">
        <v>2</v>
      </c>
      <c r="I329" s="10">
        <v>63</v>
      </c>
      <c r="J329" t="str">
        <f t="shared" si="20"/>
        <v>41-60</v>
      </c>
      <c r="K329" t="str">
        <f t="shared" si="21"/>
        <v>Middle Age</v>
      </c>
      <c r="L329" t="str">
        <f t="shared" si="22"/>
        <v>Low Cost</v>
      </c>
      <c r="M329" t="str">
        <f t="shared" si="23"/>
        <v>Good</v>
      </c>
    </row>
    <row r="330" spans="1:13" x14ac:dyDescent="0.35">
      <c r="A330" t="s">
        <v>366</v>
      </c>
      <c r="B330" t="s">
        <v>49</v>
      </c>
      <c r="C330" t="s">
        <v>16</v>
      </c>
      <c r="D330" t="s">
        <v>39</v>
      </c>
      <c r="E330" t="s">
        <v>18</v>
      </c>
      <c r="F330">
        <v>12</v>
      </c>
      <c r="G330" s="9">
        <v>13775</v>
      </c>
      <c r="H330" s="10">
        <v>8</v>
      </c>
      <c r="I330" s="10">
        <v>53</v>
      </c>
      <c r="J330" t="str">
        <f t="shared" si="20"/>
        <v>0-20</v>
      </c>
      <c r="K330" t="str">
        <f t="shared" si="21"/>
        <v>Child</v>
      </c>
      <c r="L330" t="str">
        <f t="shared" si="22"/>
        <v>High Cost</v>
      </c>
      <c r="M330" t="str">
        <f t="shared" si="23"/>
        <v>Poor</v>
      </c>
    </row>
    <row r="331" spans="1:13" x14ac:dyDescent="0.35">
      <c r="A331" t="s">
        <v>367</v>
      </c>
      <c r="B331" t="s">
        <v>49</v>
      </c>
      <c r="C331" t="s">
        <v>28</v>
      </c>
      <c r="D331" t="s">
        <v>21</v>
      </c>
      <c r="E331" t="s">
        <v>18</v>
      </c>
      <c r="F331">
        <v>10</v>
      </c>
      <c r="G331" s="9">
        <v>585</v>
      </c>
      <c r="H331" s="10">
        <v>3</v>
      </c>
      <c r="I331" s="10">
        <v>96</v>
      </c>
      <c r="J331" t="str">
        <f t="shared" si="20"/>
        <v>0-20</v>
      </c>
      <c r="K331" t="str">
        <f t="shared" si="21"/>
        <v>Child</v>
      </c>
      <c r="L331" t="str">
        <f t="shared" si="22"/>
        <v>Low Cost</v>
      </c>
      <c r="M331" t="str">
        <f t="shared" si="23"/>
        <v>Excellent</v>
      </c>
    </row>
    <row r="332" spans="1:13" x14ac:dyDescent="0.35">
      <c r="A332" t="s">
        <v>368</v>
      </c>
      <c r="B332" t="s">
        <v>15</v>
      </c>
      <c r="C332" t="s">
        <v>45</v>
      </c>
      <c r="D332" t="s">
        <v>39</v>
      </c>
      <c r="E332" t="s">
        <v>22</v>
      </c>
      <c r="F332">
        <v>43</v>
      </c>
      <c r="G332" s="9">
        <v>2983</v>
      </c>
      <c r="H332" s="10">
        <v>1</v>
      </c>
      <c r="I332" s="10">
        <v>63</v>
      </c>
      <c r="J332" t="str">
        <f t="shared" si="20"/>
        <v>41-60</v>
      </c>
      <c r="K332" t="str">
        <f t="shared" si="21"/>
        <v>Adult</v>
      </c>
      <c r="L332" t="str">
        <f t="shared" si="22"/>
        <v>Low Cost</v>
      </c>
      <c r="M332" t="str">
        <f t="shared" si="23"/>
        <v>Good</v>
      </c>
    </row>
    <row r="333" spans="1:13" x14ac:dyDescent="0.35">
      <c r="A333" t="s">
        <v>369</v>
      </c>
      <c r="B333" t="s">
        <v>27</v>
      </c>
      <c r="C333" t="s">
        <v>16</v>
      </c>
      <c r="D333" t="s">
        <v>39</v>
      </c>
      <c r="E333" t="s">
        <v>18</v>
      </c>
      <c r="F333">
        <v>90</v>
      </c>
      <c r="G333" s="9">
        <v>14902</v>
      </c>
      <c r="H333" s="10">
        <v>8</v>
      </c>
      <c r="I333" s="10">
        <v>75</v>
      </c>
      <c r="J333" t="str">
        <f t="shared" si="20"/>
        <v>61+</v>
      </c>
      <c r="K333" t="str">
        <f t="shared" si="21"/>
        <v>Elderly</v>
      </c>
      <c r="L333" t="str">
        <f t="shared" si="22"/>
        <v>High Cost</v>
      </c>
      <c r="M333" t="str">
        <f t="shared" si="23"/>
        <v>Good</v>
      </c>
    </row>
    <row r="334" spans="1:13" x14ac:dyDescent="0.35">
      <c r="A334" t="s">
        <v>370</v>
      </c>
      <c r="B334" t="s">
        <v>27</v>
      </c>
      <c r="C334" t="s">
        <v>31</v>
      </c>
      <c r="D334" t="s">
        <v>32</v>
      </c>
      <c r="E334" t="s">
        <v>22</v>
      </c>
      <c r="F334">
        <v>69</v>
      </c>
      <c r="G334" s="9">
        <v>6314</v>
      </c>
      <c r="H334" s="10">
        <v>7</v>
      </c>
      <c r="I334" s="10">
        <v>69</v>
      </c>
      <c r="J334" t="str">
        <f t="shared" si="20"/>
        <v>61+</v>
      </c>
      <c r="K334" t="str">
        <f t="shared" si="21"/>
        <v>Elderly</v>
      </c>
      <c r="L334" t="str">
        <f t="shared" si="22"/>
        <v>Low Cost</v>
      </c>
      <c r="M334" t="str">
        <f t="shared" si="23"/>
        <v>Good</v>
      </c>
    </row>
    <row r="335" spans="1:13" x14ac:dyDescent="0.35">
      <c r="A335" t="s">
        <v>371</v>
      </c>
      <c r="B335" t="s">
        <v>49</v>
      </c>
      <c r="C335" t="s">
        <v>31</v>
      </c>
      <c r="D335" t="s">
        <v>25</v>
      </c>
      <c r="E335" t="s">
        <v>18</v>
      </c>
      <c r="F335">
        <v>60</v>
      </c>
      <c r="G335" s="9">
        <v>1807</v>
      </c>
      <c r="H335" s="10">
        <v>9</v>
      </c>
      <c r="I335" s="10">
        <v>98</v>
      </c>
      <c r="J335" t="str">
        <f t="shared" si="20"/>
        <v>41-60</v>
      </c>
      <c r="K335" t="str">
        <f t="shared" si="21"/>
        <v>Middle Age</v>
      </c>
      <c r="L335" t="str">
        <f t="shared" si="22"/>
        <v>Low Cost</v>
      </c>
      <c r="M335" t="str">
        <f t="shared" si="23"/>
        <v>Excellent</v>
      </c>
    </row>
    <row r="336" spans="1:13" x14ac:dyDescent="0.35">
      <c r="A336" t="s">
        <v>372</v>
      </c>
      <c r="B336" t="s">
        <v>54</v>
      </c>
      <c r="C336" t="s">
        <v>31</v>
      </c>
      <c r="D336" t="s">
        <v>65</v>
      </c>
      <c r="E336" t="s">
        <v>22</v>
      </c>
      <c r="F336">
        <v>53</v>
      </c>
      <c r="G336" s="9">
        <v>1374</v>
      </c>
      <c r="H336" s="10">
        <v>5</v>
      </c>
      <c r="I336" s="10">
        <v>97</v>
      </c>
      <c r="J336" t="str">
        <f t="shared" si="20"/>
        <v>41-60</v>
      </c>
      <c r="K336" t="str">
        <f t="shared" si="21"/>
        <v>Middle Age</v>
      </c>
      <c r="L336" t="str">
        <f t="shared" si="22"/>
        <v>Low Cost</v>
      </c>
      <c r="M336" t="str">
        <f t="shared" si="23"/>
        <v>Excellent</v>
      </c>
    </row>
    <row r="337" spans="1:13" x14ac:dyDescent="0.35">
      <c r="A337" t="s">
        <v>373</v>
      </c>
      <c r="B337" t="s">
        <v>27</v>
      </c>
      <c r="C337" t="s">
        <v>16</v>
      </c>
      <c r="D337" t="s">
        <v>32</v>
      </c>
      <c r="E337" t="s">
        <v>18</v>
      </c>
      <c r="F337">
        <v>75</v>
      </c>
      <c r="G337" s="9">
        <v>14488</v>
      </c>
      <c r="H337" s="10">
        <v>11</v>
      </c>
      <c r="I337" s="10">
        <v>68</v>
      </c>
      <c r="J337" t="str">
        <f t="shared" si="20"/>
        <v>61+</v>
      </c>
      <c r="K337" t="str">
        <f t="shared" si="21"/>
        <v>Elderly</v>
      </c>
      <c r="L337" t="str">
        <f t="shared" si="22"/>
        <v>High Cost</v>
      </c>
      <c r="M337" t="str">
        <f t="shared" si="23"/>
        <v>Good</v>
      </c>
    </row>
    <row r="338" spans="1:13" x14ac:dyDescent="0.35">
      <c r="A338" t="s">
        <v>374</v>
      </c>
      <c r="B338" t="s">
        <v>27</v>
      </c>
      <c r="C338" t="s">
        <v>45</v>
      </c>
      <c r="D338" t="s">
        <v>34</v>
      </c>
      <c r="E338" t="s">
        <v>22</v>
      </c>
      <c r="F338">
        <v>73</v>
      </c>
      <c r="G338" s="9">
        <v>2513</v>
      </c>
      <c r="H338" s="10">
        <v>4</v>
      </c>
      <c r="I338" s="10">
        <v>85</v>
      </c>
      <c r="J338" t="str">
        <f t="shared" si="20"/>
        <v>61+</v>
      </c>
      <c r="K338" t="str">
        <f t="shared" si="21"/>
        <v>Elderly</v>
      </c>
      <c r="L338" t="str">
        <f t="shared" si="22"/>
        <v>Low Cost</v>
      </c>
      <c r="M338" t="str">
        <f t="shared" si="23"/>
        <v>Excellent</v>
      </c>
    </row>
    <row r="339" spans="1:13" x14ac:dyDescent="0.35">
      <c r="A339" t="s">
        <v>375</v>
      </c>
      <c r="B339" t="s">
        <v>15</v>
      </c>
      <c r="C339" t="s">
        <v>31</v>
      </c>
      <c r="D339" t="s">
        <v>32</v>
      </c>
      <c r="E339" t="s">
        <v>18</v>
      </c>
      <c r="F339">
        <v>63</v>
      </c>
      <c r="G339" s="9">
        <v>6927</v>
      </c>
      <c r="H339" s="10">
        <v>9</v>
      </c>
      <c r="I339" s="10">
        <v>79</v>
      </c>
      <c r="J339" t="str">
        <f t="shared" si="20"/>
        <v>61+</v>
      </c>
      <c r="K339" t="str">
        <f t="shared" si="21"/>
        <v>Elderly</v>
      </c>
      <c r="L339" t="str">
        <f t="shared" si="22"/>
        <v>Low Cost</v>
      </c>
      <c r="M339" t="str">
        <f t="shared" si="23"/>
        <v>Good</v>
      </c>
    </row>
    <row r="340" spans="1:13" x14ac:dyDescent="0.35">
      <c r="A340" t="s">
        <v>376</v>
      </c>
      <c r="B340" t="s">
        <v>27</v>
      </c>
      <c r="C340" t="s">
        <v>31</v>
      </c>
      <c r="D340" t="s">
        <v>47</v>
      </c>
      <c r="E340" t="s">
        <v>22</v>
      </c>
      <c r="F340">
        <v>70</v>
      </c>
      <c r="G340" s="9">
        <v>5000</v>
      </c>
      <c r="H340" s="10">
        <v>4</v>
      </c>
      <c r="I340" s="10">
        <v>84</v>
      </c>
      <c r="J340" t="str">
        <f t="shared" si="20"/>
        <v>61+</v>
      </c>
      <c r="K340" t="str">
        <f t="shared" si="21"/>
        <v>Elderly</v>
      </c>
      <c r="L340" t="str">
        <f t="shared" si="22"/>
        <v>Low Cost</v>
      </c>
      <c r="M340" t="str">
        <f t="shared" si="23"/>
        <v>Excellent</v>
      </c>
    </row>
    <row r="341" spans="1:13" x14ac:dyDescent="0.35">
      <c r="A341" t="s">
        <v>377</v>
      </c>
      <c r="B341" t="s">
        <v>15</v>
      </c>
      <c r="C341" t="s">
        <v>16</v>
      </c>
      <c r="D341" t="s">
        <v>25</v>
      </c>
      <c r="E341" t="s">
        <v>22</v>
      </c>
      <c r="F341">
        <v>10</v>
      </c>
      <c r="G341" s="9">
        <v>18402</v>
      </c>
      <c r="H341" s="10">
        <v>15</v>
      </c>
      <c r="I341" s="10">
        <v>53</v>
      </c>
      <c r="J341" t="str">
        <f t="shared" si="20"/>
        <v>0-20</v>
      </c>
      <c r="K341" t="str">
        <f t="shared" si="21"/>
        <v>Child</v>
      </c>
      <c r="L341" t="str">
        <f t="shared" si="22"/>
        <v>High Cost</v>
      </c>
      <c r="M341" t="str">
        <f t="shared" si="23"/>
        <v>Poor</v>
      </c>
    </row>
    <row r="342" spans="1:13" x14ac:dyDescent="0.35">
      <c r="A342" t="s">
        <v>378</v>
      </c>
      <c r="B342" t="s">
        <v>54</v>
      </c>
      <c r="C342" t="s">
        <v>16</v>
      </c>
      <c r="D342" t="s">
        <v>52</v>
      </c>
      <c r="E342" t="s">
        <v>22</v>
      </c>
      <c r="F342">
        <v>81</v>
      </c>
      <c r="G342" s="9">
        <v>8791</v>
      </c>
      <c r="H342" s="10">
        <v>6</v>
      </c>
      <c r="I342" s="10">
        <v>95</v>
      </c>
      <c r="J342" t="str">
        <f t="shared" si="20"/>
        <v>61+</v>
      </c>
      <c r="K342" t="str">
        <f t="shared" si="21"/>
        <v>Elderly</v>
      </c>
      <c r="L342" t="str">
        <f t="shared" si="22"/>
        <v>High Cost</v>
      </c>
      <c r="M342" t="str">
        <f t="shared" si="23"/>
        <v>Excellent</v>
      </c>
    </row>
    <row r="343" spans="1:13" x14ac:dyDescent="0.35">
      <c r="A343" t="s">
        <v>379</v>
      </c>
      <c r="B343" t="s">
        <v>27</v>
      </c>
      <c r="C343" t="s">
        <v>16</v>
      </c>
      <c r="D343" t="s">
        <v>65</v>
      </c>
      <c r="E343" t="s">
        <v>18</v>
      </c>
      <c r="F343">
        <v>48</v>
      </c>
      <c r="G343" s="9">
        <v>5990</v>
      </c>
      <c r="H343" s="10">
        <v>14</v>
      </c>
      <c r="I343" s="10">
        <v>90</v>
      </c>
      <c r="J343" t="str">
        <f t="shared" si="20"/>
        <v>41-60</v>
      </c>
      <c r="K343" t="str">
        <f t="shared" si="21"/>
        <v>Middle Age</v>
      </c>
      <c r="L343" t="str">
        <f t="shared" si="22"/>
        <v>Low Cost</v>
      </c>
      <c r="M343" t="str">
        <f t="shared" si="23"/>
        <v>Excellent</v>
      </c>
    </row>
    <row r="344" spans="1:13" x14ac:dyDescent="0.35">
      <c r="A344" t="s">
        <v>380</v>
      </c>
      <c r="B344" t="s">
        <v>15</v>
      </c>
      <c r="C344" t="s">
        <v>28</v>
      </c>
      <c r="D344" t="s">
        <v>39</v>
      </c>
      <c r="E344" t="s">
        <v>22</v>
      </c>
      <c r="F344">
        <v>69</v>
      </c>
      <c r="G344" s="9">
        <v>1329</v>
      </c>
      <c r="H344" s="10">
        <v>2</v>
      </c>
      <c r="I344" s="10">
        <v>50</v>
      </c>
      <c r="J344" t="str">
        <f t="shared" si="20"/>
        <v>61+</v>
      </c>
      <c r="K344" t="str">
        <f t="shared" si="21"/>
        <v>Elderly</v>
      </c>
      <c r="L344" t="str">
        <f t="shared" si="22"/>
        <v>Low Cost</v>
      </c>
      <c r="M344" t="str">
        <f t="shared" si="23"/>
        <v>Poor</v>
      </c>
    </row>
    <row r="345" spans="1:13" x14ac:dyDescent="0.35">
      <c r="A345" t="s">
        <v>381</v>
      </c>
      <c r="B345" t="s">
        <v>20</v>
      </c>
      <c r="C345" t="s">
        <v>31</v>
      </c>
      <c r="D345" t="s">
        <v>25</v>
      </c>
      <c r="E345" t="s">
        <v>18</v>
      </c>
      <c r="F345">
        <v>3</v>
      </c>
      <c r="G345" s="9">
        <v>5114</v>
      </c>
      <c r="H345" s="10">
        <v>8</v>
      </c>
      <c r="I345" s="10">
        <v>61</v>
      </c>
      <c r="J345" t="str">
        <f t="shared" si="20"/>
        <v>0-20</v>
      </c>
      <c r="K345" t="str">
        <f t="shared" si="21"/>
        <v>Infant</v>
      </c>
      <c r="L345" t="str">
        <f t="shared" si="22"/>
        <v>Low Cost</v>
      </c>
      <c r="M345" t="str">
        <f t="shared" si="23"/>
        <v>Good</v>
      </c>
    </row>
    <row r="346" spans="1:13" x14ac:dyDescent="0.35">
      <c r="A346" t="s">
        <v>382</v>
      </c>
      <c r="B346" t="s">
        <v>20</v>
      </c>
      <c r="C346" t="s">
        <v>16</v>
      </c>
      <c r="D346" t="s">
        <v>25</v>
      </c>
      <c r="E346" t="s">
        <v>22</v>
      </c>
      <c r="F346">
        <v>25</v>
      </c>
      <c r="G346" s="9">
        <v>15154</v>
      </c>
      <c r="H346" s="10">
        <v>13</v>
      </c>
      <c r="I346" s="10">
        <v>66</v>
      </c>
      <c r="J346" t="str">
        <f t="shared" si="20"/>
        <v>21-40</v>
      </c>
      <c r="K346" t="str">
        <f t="shared" si="21"/>
        <v>Youth</v>
      </c>
      <c r="L346" t="str">
        <f t="shared" si="22"/>
        <v>High Cost</v>
      </c>
      <c r="M346" t="str">
        <f t="shared" si="23"/>
        <v>Good</v>
      </c>
    </row>
    <row r="347" spans="1:13" x14ac:dyDescent="0.35">
      <c r="A347" t="s">
        <v>383</v>
      </c>
      <c r="B347" t="s">
        <v>54</v>
      </c>
      <c r="C347" t="s">
        <v>31</v>
      </c>
      <c r="D347" t="s">
        <v>32</v>
      </c>
      <c r="E347" t="s">
        <v>18</v>
      </c>
      <c r="F347">
        <v>11</v>
      </c>
      <c r="G347" s="9">
        <v>4056</v>
      </c>
      <c r="H347" s="10">
        <v>8</v>
      </c>
      <c r="I347" s="10">
        <v>79</v>
      </c>
      <c r="J347" t="str">
        <f t="shared" si="20"/>
        <v>0-20</v>
      </c>
      <c r="K347" t="str">
        <f t="shared" si="21"/>
        <v>Child</v>
      </c>
      <c r="L347" t="str">
        <f t="shared" si="22"/>
        <v>Low Cost</v>
      </c>
      <c r="M347" t="str">
        <f t="shared" si="23"/>
        <v>Good</v>
      </c>
    </row>
    <row r="348" spans="1:13" x14ac:dyDescent="0.35">
      <c r="A348" t="s">
        <v>384</v>
      </c>
      <c r="B348" t="s">
        <v>24</v>
      </c>
      <c r="C348" t="s">
        <v>45</v>
      </c>
      <c r="D348" t="s">
        <v>65</v>
      </c>
      <c r="E348" t="s">
        <v>22</v>
      </c>
      <c r="F348">
        <v>11</v>
      </c>
      <c r="G348" s="9">
        <v>759</v>
      </c>
      <c r="H348" s="10">
        <v>1</v>
      </c>
      <c r="I348" s="10">
        <v>75</v>
      </c>
      <c r="J348" t="str">
        <f t="shared" si="20"/>
        <v>0-20</v>
      </c>
      <c r="K348" t="str">
        <f t="shared" si="21"/>
        <v>Child</v>
      </c>
      <c r="L348" t="str">
        <f t="shared" si="22"/>
        <v>Low Cost</v>
      </c>
      <c r="M348" t="str">
        <f t="shared" si="23"/>
        <v>Good</v>
      </c>
    </row>
    <row r="349" spans="1:13" x14ac:dyDescent="0.35">
      <c r="A349" t="s">
        <v>385</v>
      </c>
      <c r="B349" t="s">
        <v>30</v>
      </c>
      <c r="C349" t="s">
        <v>28</v>
      </c>
      <c r="D349" t="s">
        <v>25</v>
      </c>
      <c r="E349" t="s">
        <v>22</v>
      </c>
      <c r="F349">
        <v>82</v>
      </c>
      <c r="G349" s="9">
        <v>219</v>
      </c>
      <c r="H349" s="10">
        <v>3</v>
      </c>
      <c r="I349" s="10">
        <v>60</v>
      </c>
      <c r="J349" t="str">
        <f t="shared" si="20"/>
        <v>61+</v>
      </c>
      <c r="K349" t="str">
        <f t="shared" si="21"/>
        <v>Elderly</v>
      </c>
      <c r="L349" t="str">
        <f t="shared" si="22"/>
        <v>Low Cost</v>
      </c>
      <c r="M349" t="str">
        <f t="shared" si="23"/>
        <v>Good</v>
      </c>
    </row>
    <row r="350" spans="1:13" x14ac:dyDescent="0.35">
      <c r="A350" t="s">
        <v>386</v>
      </c>
      <c r="B350" t="s">
        <v>20</v>
      </c>
      <c r="C350" t="s">
        <v>28</v>
      </c>
      <c r="D350" t="s">
        <v>52</v>
      </c>
      <c r="E350" t="s">
        <v>18</v>
      </c>
      <c r="F350">
        <v>43</v>
      </c>
      <c r="G350" s="9">
        <v>1358</v>
      </c>
      <c r="H350" s="10">
        <v>1</v>
      </c>
      <c r="I350" s="10">
        <v>83</v>
      </c>
      <c r="J350" t="str">
        <f t="shared" si="20"/>
        <v>41-60</v>
      </c>
      <c r="K350" t="str">
        <f t="shared" si="21"/>
        <v>Adult</v>
      </c>
      <c r="L350" t="str">
        <f t="shared" si="22"/>
        <v>Low Cost</v>
      </c>
      <c r="M350" t="str">
        <f t="shared" si="23"/>
        <v>Excellent</v>
      </c>
    </row>
    <row r="351" spans="1:13" x14ac:dyDescent="0.35">
      <c r="A351" t="s">
        <v>387</v>
      </c>
      <c r="B351" t="s">
        <v>20</v>
      </c>
      <c r="C351" t="s">
        <v>45</v>
      </c>
      <c r="D351" t="s">
        <v>65</v>
      </c>
      <c r="E351" t="s">
        <v>18</v>
      </c>
      <c r="F351">
        <v>89</v>
      </c>
      <c r="G351" s="9">
        <v>4395</v>
      </c>
      <c r="H351" s="10">
        <v>3</v>
      </c>
      <c r="I351" s="10">
        <v>52</v>
      </c>
      <c r="J351" t="str">
        <f t="shared" si="20"/>
        <v>61+</v>
      </c>
      <c r="K351" t="str">
        <f t="shared" si="21"/>
        <v>Elderly</v>
      </c>
      <c r="L351" t="str">
        <f t="shared" si="22"/>
        <v>Low Cost</v>
      </c>
      <c r="M351" t="str">
        <f t="shared" si="23"/>
        <v>Poor</v>
      </c>
    </row>
    <row r="352" spans="1:13" x14ac:dyDescent="0.35">
      <c r="A352" t="s">
        <v>388</v>
      </c>
      <c r="B352" t="s">
        <v>20</v>
      </c>
      <c r="C352" t="s">
        <v>31</v>
      </c>
      <c r="D352" t="s">
        <v>25</v>
      </c>
      <c r="E352" t="s">
        <v>18</v>
      </c>
      <c r="F352">
        <v>5</v>
      </c>
      <c r="G352" s="9">
        <v>2469</v>
      </c>
      <c r="H352" s="10">
        <v>7</v>
      </c>
      <c r="I352" s="10">
        <v>51</v>
      </c>
      <c r="J352" t="str">
        <f t="shared" si="20"/>
        <v>0-20</v>
      </c>
      <c r="K352" t="str">
        <f t="shared" si="21"/>
        <v>Infant</v>
      </c>
      <c r="L352" t="str">
        <f t="shared" si="22"/>
        <v>Low Cost</v>
      </c>
      <c r="M352" t="str">
        <f t="shared" si="23"/>
        <v>Poor</v>
      </c>
    </row>
    <row r="353" spans="1:13" x14ac:dyDescent="0.35">
      <c r="A353" t="s">
        <v>389</v>
      </c>
      <c r="B353" t="s">
        <v>27</v>
      </c>
      <c r="C353" t="s">
        <v>45</v>
      </c>
      <c r="D353" t="s">
        <v>52</v>
      </c>
      <c r="E353" t="s">
        <v>18</v>
      </c>
      <c r="F353">
        <v>39</v>
      </c>
      <c r="G353" s="9">
        <v>1830</v>
      </c>
      <c r="H353" s="10">
        <v>5</v>
      </c>
      <c r="I353" s="10">
        <v>65</v>
      </c>
      <c r="J353" t="str">
        <f t="shared" si="20"/>
        <v>21-40</v>
      </c>
      <c r="K353" t="str">
        <f t="shared" si="21"/>
        <v>Adult</v>
      </c>
      <c r="L353" t="str">
        <f t="shared" si="22"/>
        <v>Low Cost</v>
      </c>
      <c r="M353" t="str">
        <f t="shared" si="23"/>
        <v>Good</v>
      </c>
    </row>
    <row r="354" spans="1:13" x14ac:dyDescent="0.35">
      <c r="A354" t="s">
        <v>390</v>
      </c>
      <c r="B354" t="s">
        <v>24</v>
      </c>
      <c r="C354" t="s">
        <v>28</v>
      </c>
      <c r="D354" t="s">
        <v>25</v>
      </c>
      <c r="E354" t="s">
        <v>22</v>
      </c>
      <c r="F354">
        <v>18</v>
      </c>
      <c r="G354" s="9">
        <v>1818</v>
      </c>
      <c r="H354" s="10">
        <v>3</v>
      </c>
      <c r="I354" s="10">
        <v>96</v>
      </c>
      <c r="J354" t="str">
        <f t="shared" si="20"/>
        <v>0-20</v>
      </c>
      <c r="K354" t="str">
        <f t="shared" si="21"/>
        <v>Teenager</v>
      </c>
      <c r="L354" t="str">
        <f t="shared" si="22"/>
        <v>Low Cost</v>
      </c>
      <c r="M354" t="str">
        <f t="shared" si="23"/>
        <v>Excellent</v>
      </c>
    </row>
    <row r="355" spans="1:13" x14ac:dyDescent="0.35">
      <c r="A355" t="s">
        <v>391</v>
      </c>
      <c r="B355" t="s">
        <v>20</v>
      </c>
      <c r="C355" t="s">
        <v>31</v>
      </c>
      <c r="D355" t="s">
        <v>17</v>
      </c>
      <c r="E355" t="s">
        <v>22</v>
      </c>
      <c r="F355">
        <v>30</v>
      </c>
      <c r="G355" s="9">
        <v>1622</v>
      </c>
      <c r="H355" s="10">
        <v>7</v>
      </c>
      <c r="I355" s="10">
        <v>88</v>
      </c>
      <c r="J355" t="str">
        <f t="shared" si="20"/>
        <v>21-40</v>
      </c>
      <c r="K355" t="str">
        <f t="shared" si="21"/>
        <v>Adult</v>
      </c>
      <c r="L355" t="str">
        <f t="shared" si="22"/>
        <v>Low Cost</v>
      </c>
      <c r="M355" t="str">
        <f t="shared" si="23"/>
        <v>Excellent</v>
      </c>
    </row>
    <row r="356" spans="1:13" x14ac:dyDescent="0.35">
      <c r="A356" t="s">
        <v>392</v>
      </c>
      <c r="B356" t="s">
        <v>54</v>
      </c>
      <c r="C356" t="s">
        <v>28</v>
      </c>
      <c r="D356" t="s">
        <v>34</v>
      </c>
      <c r="E356" t="s">
        <v>22</v>
      </c>
      <c r="F356">
        <v>35</v>
      </c>
      <c r="G356" s="9">
        <v>1804</v>
      </c>
      <c r="H356" s="10">
        <v>2</v>
      </c>
      <c r="I356" s="10">
        <v>81</v>
      </c>
      <c r="J356" t="str">
        <f t="shared" si="20"/>
        <v>21-40</v>
      </c>
      <c r="K356" t="str">
        <f t="shared" si="21"/>
        <v>Adult</v>
      </c>
      <c r="L356" t="str">
        <f t="shared" si="22"/>
        <v>Low Cost</v>
      </c>
      <c r="M356" t="str">
        <f t="shared" si="23"/>
        <v>Excellent</v>
      </c>
    </row>
    <row r="357" spans="1:13" x14ac:dyDescent="0.35">
      <c r="A357" t="s">
        <v>393</v>
      </c>
      <c r="B357" t="s">
        <v>27</v>
      </c>
      <c r="C357" t="s">
        <v>31</v>
      </c>
      <c r="D357" t="s">
        <v>25</v>
      </c>
      <c r="E357" t="s">
        <v>18</v>
      </c>
      <c r="F357">
        <v>56</v>
      </c>
      <c r="G357" s="9">
        <v>2521</v>
      </c>
      <c r="H357" s="10">
        <v>8</v>
      </c>
      <c r="I357" s="10">
        <v>55</v>
      </c>
      <c r="J357" t="str">
        <f t="shared" si="20"/>
        <v>41-60</v>
      </c>
      <c r="K357" t="str">
        <f t="shared" si="21"/>
        <v>Middle Age</v>
      </c>
      <c r="L357" t="str">
        <f t="shared" si="22"/>
        <v>Low Cost</v>
      </c>
      <c r="M357" t="str">
        <f t="shared" si="23"/>
        <v>Poor</v>
      </c>
    </row>
    <row r="358" spans="1:13" x14ac:dyDescent="0.35">
      <c r="A358" t="s">
        <v>394</v>
      </c>
      <c r="B358" t="s">
        <v>54</v>
      </c>
      <c r="C358" t="s">
        <v>31</v>
      </c>
      <c r="D358" t="s">
        <v>65</v>
      </c>
      <c r="E358" t="s">
        <v>18</v>
      </c>
      <c r="F358">
        <v>11</v>
      </c>
      <c r="G358" s="9">
        <v>3195</v>
      </c>
      <c r="H358" s="10">
        <v>4</v>
      </c>
      <c r="I358" s="10">
        <v>74</v>
      </c>
      <c r="J358" t="str">
        <f t="shared" si="20"/>
        <v>0-20</v>
      </c>
      <c r="K358" t="str">
        <f t="shared" si="21"/>
        <v>Child</v>
      </c>
      <c r="L358" t="str">
        <f t="shared" si="22"/>
        <v>Low Cost</v>
      </c>
      <c r="M358" t="str">
        <f t="shared" si="23"/>
        <v>Good</v>
      </c>
    </row>
    <row r="359" spans="1:13" x14ac:dyDescent="0.35">
      <c r="A359" t="s">
        <v>395</v>
      </c>
      <c r="B359" t="s">
        <v>15</v>
      </c>
      <c r="C359" t="s">
        <v>45</v>
      </c>
      <c r="D359" t="s">
        <v>52</v>
      </c>
      <c r="E359" t="s">
        <v>22</v>
      </c>
      <c r="F359">
        <v>14</v>
      </c>
      <c r="G359" s="9">
        <v>1249</v>
      </c>
      <c r="H359" s="10">
        <v>1</v>
      </c>
      <c r="I359" s="10">
        <v>69</v>
      </c>
      <c r="J359" t="str">
        <f t="shared" si="20"/>
        <v>0-20</v>
      </c>
      <c r="K359" t="str">
        <f t="shared" si="21"/>
        <v>Teenager</v>
      </c>
      <c r="L359" t="str">
        <f t="shared" si="22"/>
        <v>Low Cost</v>
      </c>
      <c r="M359" t="str">
        <f t="shared" si="23"/>
        <v>Good</v>
      </c>
    </row>
    <row r="360" spans="1:13" x14ac:dyDescent="0.35">
      <c r="A360" t="s">
        <v>396</v>
      </c>
      <c r="B360" t="s">
        <v>30</v>
      </c>
      <c r="C360" t="s">
        <v>31</v>
      </c>
      <c r="D360" t="s">
        <v>32</v>
      </c>
      <c r="E360" t="s">
        <v>22</v>
      </c>
      <c r="F360">
        <v>12</v>
      </c>
      <c r="G360" s="9">
        <v>2535</v>
      </c>
      <c r="H360" s="10">
        <v>8</v>
      </c>
      <c r="I360" s="10">
        <v>78</v>
      </c>
      <c r="J360" t="str">
        <f t="shared" si="20"/>
        <v>0-20</v>
      </c>
      <c r="K360" t="str">
        <f t="shared" si="21"/>
        <v>Child</v>
      </c>
      <c r="L360" t="str">
        <f t="shared" si="22"/>
        <v>Low Cost</v>
      </c>
      <c r="M360" t="str">
        <f t="shared" si="23"/>
        <v>Good</v>
      </c>
    </row>
    <row r="361" spans="1:13" x14ac:dyDescent="0.35">
      <c r="A361" t="s">
        <v>397</v>
      </c>
      <c r="B361" t="s">
        <v>24</v>
      </c>
      <c r="C361" t="s">
        <v>28</v>
      </c>
      <c r="D361" t="s">
        <v>36</v>
      </c>
      <c r="E361" t="s">
        <v>22</v>
      </c>
      <c r="F361">
        <v>46</v>
      </c>
      <c r="G361" s="9">
        <v>1335</v>
      </c>
      <c r="H361" s="10">
        <v>1</v>
      </c>
      <c r="I361" s="10">
        <v>88</v>
      </c>
      <c r="J361" t="str">
        <f t="shared" si="20"/>
        <v>41-60</v>
      </c>
      <c r="K361" t="str">
        <f t="shared" si="21"/>
        <v>Middle Age</v>
      </c>
      <c r="L361" t="str">
        <f t="shared" si="22"/>
        <v>Low Cost</v>
      </c>
      <c r="M361" t="str">
        <f t="shared" si="23"/>
        <v>Excellent</v>
      </c>
    </row>
    <row r="362" spans="1:13" x14ac:dyDescent="0.35">
      <c r="A362" t="s">
        <v>398</v>
      </c>
      <c r="B362" t="s">
        <v>24</v>
      </c>
      <c r="C362" t="s">
        <v>31</v>
      </c>
      <c r="D362" t="s">
        <v>52</v>
      </c>
      <c r="E362" t="s">
        <v>22</v>
      </c>
      <c r="F362">
        <v>53</v>
      </c>
      <c r="G362" s="9">
        <v>4176</v>
      </c>
      <c r="H362" s="10">
        <v>3</v>
      </c>
      <c r="I362" s="10">
        <v>96</v>
      </c>
      <c r="J362" t="str">
        <f t="shared" si="20"/>
        <v>41-60</v>
      </c>
      <c r="K362" t="str">
        <f t="shared" si="21"/>
        <v>Middle Age</v>
      </c>
      <c r="L362" t="str">
        <f t="shared" si="22"/>
        <v>Low Cost</v>
      </c>
      <c r="M362" t="str">
        <f t="shared" si="23"/>
        <v>Excellent</v>
      </c>
    </row>
    <row r="363" spans="1:13" x14ac:dyDescent="0.35">
      <c r="A363" t="s">
        <v>399</v>
      </c>
      <c r="B363" t="s">
        <v>24</v>
      </c>
      <c r="C363" t="s">
        <v>45</v>
      </c>
      <c r="D363" t="s">
        <v>21</v>
      </c>
      <c r="E363" t="s">
        <v>18</v>
      </c>
      <c r="F363">
        <v>88</v>
      </c>
      <c r="G363" s="9">
        <v>3618</v>
      </c>
      <c r="H363" s="10">
        <v>2</v>
      </c>
      <c r="I363" s="10">
        <v>58</v>
      </c>
      <c r="J363" t="str">
        <f t="shared" si="20"/>
        <v>61+</v>
      </c>
      <c r="K363" t="str">
        <f t="shared" si="21"/>
        <v>Elderly</v>
      </c>
      <c r="L363" t="str">
        <f t="shared" si="22"/>
        <v>Low Cost</v>
      </c>
      <c r="M363" t="str">
        <f t="shared" si="23"/>
        <v>Poor</v>
      </c>
    </row>
    <row r="364" spans="1:13" x14ac:dyDescent="0.35">
      <c r="A364" t="s">
        <v>400</v>
      </c>
      <c r="B364" t="s">
        <v>49</v>
      </c>
      <c r="C364" t="s">
        <v>31</v>
      </c>
      <c r="D364" t="s">
        <v>32</v>
      </c>
      <c r="E364" t="s">
        <v>18</v>
      </c>
      <c r="F364">
        <v>9</v>
      </c>
      <c r="G364" s="9">
        <v>2369</v>
      </c>
      <c r="H364" s="10">
        <v>8</v>
      </c>
      <c r="I364" s="10">
        <v>67</v>
      </c>
      <c r="J364" t="str">
        <f t="shared" si="20"/>
        <v>0-20</v>
      </c>
      <c r="K364" t="str">
        <f t="shared" si="21"/>
        <v>Child</v>
      </c>
      <c r="L364" t="str">
        <f t="shared" si="22"/>
        <v>Low Cost</v>
      </c>
      <c r="M364" t="str">
        <f t="shared" si="23"/>
        <v>Good</v>
      </c>
    </row>
    <row r="365" spans="1:13" x14ac:dyDescent="0.35">
      <c r="A365" t="s">
        <v>401</v>
      </c>
      <c r="B365" t="s">
        <v>30</v>
      </c>
      <c r="C365" t="s">
        <v>31</v>
      </c>
      <c r="D365" t="s">
        <v>39</v>
      </c>
      <c r="E365" t="s">
        <v>18</v>
      </c>
      <c r="F365">
        <v>47</v>
      </c>
      <c r="G365" s="9">
        <v>3061</v>
      </c>
      <c r="H365" s="10">
        <v>5</v>
      </c>
      <c r="I365" s="10">
        <v>96</v>
      </c>
      <c r="J365" t="str">
        <f t="shared" si="20"/>
        <v>41-60</v>
      </c>
      <c r="K365" t="str">
        <f t="shared" si="21"/>
        <v>Middle Age</v>
      </c>
      <c r="L365" t="str">
        <f t="shared" si="22"/>
        <v>Low Cost</v>
      </c>
      <c r="M365" t="str">
        <f t="shared" si="23"/>
        <v>Excellent</v>
      </c>
    </row>
    <row r="366" spans="1:13" x14ac:dyDescent="0.35">
      <c r="A366" t="s">
        <v>402</v>
      </c>
      <c r="B366" t="s">
        <v>15</v>
      </c>
      <c r="C366" t="s">
        <v>28</v>
      </c>
      <c r="D366" t="s">
        <v>21</v>
      </c>
      <c r="E366" t="s">
        <v>18</v>
      </c>
      <c r="F366">
        <v>59</v>
      </c>
      <c r="G366" s="9">
        <v>419</v>
      </c>
      <c r="H366" s="10">
        <v>1</v>
      </c>
      <c r="I366" s="10">
        <v>69</v>
      </c>
      <c r="J366" t="str">
        <f t="shared" si="20"/>
        <v>41-60</v>
      </c>
      <c r="K366" t="str">
        <f t="shared" si="21"/>
        <v>Middle Age</v>
      </c>
      <c r="L366" t="str">
        <f t="shared" si="22"/>
        <v>Low Cost</v>
      </c>
      <c r="M366" t="str">
        <f t="shared" si="23"/>
        <v>Good</v>
      </c>
    </row>
    <row r="367" spans="1:13" x14ac:dyDescent="0.35">
      <c r="A367" t="s">
        <v>403</v>
      </c>
      <c r="B367" t="s">
        <v>20</v>
      </c>
      <c r="C367" t="s">
        <v>28</v>
      </c>
      <c r="D367" t="s">
        <v>34</v>
      </c>
      <c r="E367" t="s">
        <v>18</v>
      </c>
      <c r="F367">
        <v>49</v>
      </c>
      <c r="G367" s="9">
        <v>1846</v>
      </c>
      <c r="H367" s="10">
        <v>2</v>
      </c>
      <c r="I367" s="10">
        <v>78</v>
      </c>
      <c r="J367" t="str">
        <f t="shared" si="20"/>
        <v>41-60</v>
      </c>
      <c r="K367" t="str">
        <f t="shared" si="21"/>
        <v>Middle Age</v>
      </c>
      <c r="L367" t="str">
        <f t="shared" si="22"/>
        <v>Low Cost</v>
      </c>
      <c r="M367" t="str">
        <f t="shared" si="23"/>
        <v>Good</v>
      </c>
    </row>
    <row r="368" spans="1:13" x14ac:dyDescent="0.35">
      <c r="A368" t="s">
        <v>404</v>
      </c>
      <c r="B368" t="s">
        <v>49</v>
      </c>
      <c r="C368" t="s">
        <v>28</v>
      </c>
      <c r="D368" t="s">
        <v>21</v>
      </c>
      <c r="E368" t="s">
        <v>22</v>
      </c>
      <c r="F368">
        <v>42</v>
      </c>
      <c r="G368" s="9">
        <v>1435</v>
      </c>
      <c r="H368" s="10">
        <v>3</v>
      </c>
      <c r="I368" s="10">
        <v>62</v>
      </c>
      <c r="J368" t="str">
        <f t="shared" si="20"/>
        <v>41-60</v>
      </c>
      <c r="K368" t="str">
        <f t="shared" si="21"/>
        <v>Adult</v>
      </c>
      <c r="L368" t="str">
        <f t="shared" si="22"/>
        <v>Low Cost</v>
      </c>
      <c r="M368" t="str">
        <f t="shared" si="23"/>
        <v>Good</v>
      </c>
    </row>
    <row r="369" spans="1:13" x14ac:dyDescent="0.35">
      <c r="A369" t="s">
        <v>405</v>
      </c>
      <c r="B369" t="s">
        <v>30</v>
      </c>
      <c r="C369" t="s">
        <v>31</v>
      </c>
      <c r="D369" t="s">
        <v>47</v>
      </c>
      <c r="E369" t="s">
        <v>18</v>
      </c>
      <c r="F369">
        <v>41</v>
      </c>
      <c r="G369" s="9">
        <v>3387</v>
      </c>
      <c r="H369" s="10">
        <v>9</v>
      </c>
      <c r="I369" s="10">
        <v>86</v>
      </c>
      <c r="J369" t="str">
        <f t="shared" si="20"/>
        <v>41-60</v>
      </c>
      <c r="K369" t="str">
        <f t="shared" si="21"/>
        <v>Adult</v>
      </c>
      <c r="L369" t="str">
        <f t="shared" si="22"/>
        <v>Low Cost</v>
      </c>
      <c r="M369" t="str">
        <f t="shared" si="23"/>
        <v>Excellent</v>
      </c>
    </row>
    <row r="370" spans="1:13" x14ac:dyDescent="0.35">
      <c r="A370" t="s">
        <v>406</v>
      </c>
      <c r="B370" t="s">
        <v>54</v>
      </c>
      <c r="C370" t="s">
        <v>45</v>
      </c>
      <c r="D370" t="s">
        <v>34</v>
      </c>
      <c r="E370" t="s">
        <v>22</v>
      </c>
      <c r="F370">
        <v>51</v>
      </c>
      <c r="G370" s="9">
        <v>3490</v>
      </c>
      <c r="H370" s="10">
        <v>1</v>
      </c>
      <c r="I370" s="10">
        <v>86</v>
      </c>
      <c r="J370" t="str">
        <f t="shared" si="20"/>
        <v>41-60</v>
      </c>
      <c r="K370" t="str">
        <f t="shared" si="21"/>
        <v>Middle Age</v>
      </c>
      <c r="L370" t="str">
        <f t="shared" si="22"/>
        <v>Low Cost</v>
      </c>
      <c r="M370" t="str">
        <f t="shared" si="23"/>
        <v>Excellent</v>
      </c>
    </row>
    <row r="371" spans="1:13" x14ac:dyDescent="0.35">
      <c r="A371" t="s">
        <v>407</v>
      </c>
      <c r="B371" t="s">
        <v>27</v>
      </c>
      <c r="C371" t="s">
        <v>45</v>
      </c>
      <c r="D371" t="s">
        <v>25</v>
      </c>
      <c r="E371" t="s">
        <v>22</v>
      </c>
      <c r="F371">
        <v>60</v>
      </c>
      <c r="G371" s="9">
        <v>2217</v>
      </c>
      <c r="H371" s="10">
        <v>4</v>
      </c>
      <c r="I371" s="10">
        <v>68</v>
      </c>
      <c r="J371" t="str">
        <f t="shared" si="20"/>
        <v>41-60</v>
      </c>
      <c r="K371" t="str">
        <f t="shared" si="21"/>
        <v>Middle Age</v>
      </c>
      <c r="L371" t="str">
        <f t="shared" si="22"/>
        <v>Low Cost</v>
      </c>
      <c r="M371" t="str">
        <f t="shared" si="23"/>
        <v>Good</v>
      </c>
    </row>
    <row r="372" spans="1:13" x14ac:dyDescent="0.35">
      <c r="A372" t="s">
        <v>408</v>
      </c>
      <c r="B372" t="s">
        <v>54</v>
      </c>
      <c r="C372" t="s">
        <v>16</v>
      </c>
      <c r="D372" t="s">
        <v>52</v>
      </c>
      <c r="E372" t="s">
        <v>18</v>
      </c>
      <c r="F372">
        <v>18</v>
      </c>
      <c r="G372" s="9">
        <v>15376</v>
      </c>
      <c r="H372" s="10">
        <v>9</v>
      </c>
      <c r="I372" s="10">
        <v>65</v>
      </c>
      <c r="J372" t="str">
        <f t="shared" si="20"/>
        <v>0-20</v>
      </c>
      <c r="K372" t="str">
        <f t="shared" si="21"/>
        <v>Teenager</v>
      </c>
      <c r="L372" t="str">
        <f t="shared" si="22"/>
        <v>High Cost</v>
      </c>
      <c r="M372" t="str">
        <f t="shared" si="23"/>
        <v>Good</v>
      </c>
    </row>
    <row r="373" spans="1:13" x14ac:dyDescent="0.35">
      <c r="A373" t="s">
        <v>409</v>
      </c>
      <c r="B373" t="s">
        <v>49</v>
      </c>
      <c r="C373" t="s">
        <v>45</v>
      </c>
      <c r="D373" t="s">
        <v>52</v>
      </c>
      <c r="E373" t="s">
        <v>18</v>
      </c>
      <c r="F373">
        <v>10</v>
      </c>
      <c r="G373" s="9">
        <v>4178</v>
      </c>
      <c r="H373" s="10">
        <v>5</v>
      </c>
      <c r="I373" s="10">
        <v>80</v>
      </c>
      <c r="J373" t="str">
        <f t="shared" si="20"/>
        <v>0-20</v>
      </c>
      <c r="K373" t="str">
        <f t="shared" si="21"/>
        <v>Child</v>
      </c>
      <c r="L373" t="str">
        <f t="shared" si="22"/>
        <v>Low Cost</v>
      </c>
      <c r="M373" t="str">
        <f t="shared" si="23"/>
        <v>Excellent</v>
      </c>
    </row>
    <row r="374" spans="1:13" x14ac:dyDescent="0.35">
      <c r="A374" t="s">
        <v>410</v>
      </c>
      <c r="B374" t="s">
        <v>24</v>
      </c>
      <c r="C374" t="s">
        <v>28</v>
      </c>
      <c r="D374" t="s">
        <v>25</v>
      </c>
      <c r="E374" t="s">
        <v>18</v>
      </c>
      <c r="F374">
        <v>89</v>
      </c>
      <c r="G374" s="9">
        <v>1056</v>
      </c>
      <c r="H374" s="10">
        <v>3</v>
      </c>
      <c r="I374" s="10">
        <v>52</v>
      </c>
      <c r="J374" t="str">
        <f t="shared" si="20"/>
        <v>61+</v>
      </c>
      <c r="K374" t="str">
        <f t="shared" si="21"/>
        <v>Elderly</v>
      </c>
      <c r="L374" t="str">
        <f t="shared" si="22"/>
        <v>Low Cost</v>
      </c>
      <c r="M374" t="str">
        <f t="shared" si="23"/>
        <v>Poor</v>
      </c>
    </row>
    <row r="375" spans="1:13" x14ac:dyDescent="0.35">
      <c r="A375" t="s">
        <v>411</v>
      </c>
      <c r="B375" t="s">
        <v>54</v>
      </c>
      <c r="C375" t="s">
        <v>31</v>
      </c>
      <c r="D375" t="s">
        <v>25</v>
      </c>
      <c r="E375" t="s">
        <v>18</v>
      </c>
      <c r="F375">
        <v>11</v>
      </c>
      <c r="G375" s="9">
        <v>1895</v>
      </c>
      <c r="H375" s="10">
        <v>5</v>
      </c>
      <c r="I375" s="10">
        <v>92</v>
      </c>
      <c r="J375" t="str">
        <f t="shared" si="20"/>
        <v>0-20</v>
      </c>
      <c r="K375" t="str">
        <f t="shared" si="21"/>
        <v>Child</v>
      </c>
      <c r="L375" t="str">
        <f t="shared" si="22"/>
        <v>Low Cost</v>
      </c>
      <c r="M375" t="str">
        <f t="shared" si="23"/>
        <v>Excellent</v>
      </c>
    </row>
    <row r="376" spans="1:13" x14ac:dyDescent="0.35">
      <c r="A376" t="s">
        <v>412</v>
      </c>
      <c r="B376" t="s">
        <v>15</v>
      </c>
      <c r="C376" t="s">
        <v>31</v>
      </c>
      <c r="D376" t="s">
        <v>47</v>
      </c>
      <c r="E376" t="s">
        <v>18</v>
      </c>
      <c r="F376">
        <v>6</v>
      </c>
      <c r="G376" s="9">
        <v>5613</v>
      </c>
      <c r="H376" s="10">
        <v>8</v>
      </c>
      <c r="I376" s="10">
        <v>98</v>
      </c>
      <c r="J376" t="str">
        <f t="shared" si="20"/>
        <v>0-20</v>
      </c>
      <c r="K376" t="str">
        <f t="shared" si="21"/>
        <v>Child</v>
      </c>
      <c r="L376" t="str">
        <f t="shared" si="22"/>
        <v>Low Cost</v>
      </c>
      <c r="M376" t="str">
        <f t="shared" si="23"/>
        <v>Excellent</v>
      </c>
    </row>
    <row r="377" spans="1:13" x14ac:dyDescent="0.35">
      <c r="A377" t="s">
        <v>413</v>
      </c>
      <c r="B377" t="s">
        <v>49</v>
      </c>
      <c r="C377" t="s">
        <v>28</v>
      </c>
      <c r="D377" t="s">
        <v>36</v>
      </c>
      <c r="E377" t="s">
        <v>22</v>
      </c>
      <c r="F377">
        <v>34</v>
      </c>
      <c r="G377" s="9">
        <v>654</v>
      </c>
      <c r="H377" s="10">
        <v>3</v>
      </c>
      <c r="I377" s="10">
        <v>97</v>
      </c>
      <c r="J377" t="str">
        <f t="shared" si="20"/>
        <v>21-40</v>
      </c>
      <c r="K377" t="str">
        <f t="shared" si="21"/>
        <v>Adult</v>
      </c>
      <c r="L377" t="str">
        <f t="shared" si="22"/>
        <v>Low Cost</v>
      </c>
      <c r="M377" t="str">
        <f t="shared" si="23"/>
        <v>Excellent</v>
      </c>
    </row>
    <row r="378" spans="1:13" x14ac:dyDescent="0.35">
      <c r="A378" t="s">
        <v>414</v>
      </c>
      <c r="B378" t="s">
        <v>24</v>
      </c>
      <c r="C378" t="s">
        <v>45</v>
      </c>
      <c r="D378" t="s">
        <v>39</v>
      </c>
      <c r="E378" t="s">
        <v>22</v>
      </c>
      <c r="F378">
        <v>60</v>
      </c>
      <c r="G378" s="9">
        <v>4599</v>
      </c>
      <c r="H378" s="10">
        <v>2</v>
      </c>
      <c r="I378" s="10">
        <v>72</v>
      </c>
      <c r="J378" t="str">
        <f t="shared" si="20"/>
        <v>41-60</v>
      </c>
      <c r="K378" t="str">
        <f t="shared" si="21"/>
        <v>Middle Age</v>
      </c>
      <c r="L378" t="str">
        <f t="shared" si="22"/>
        <v>Low Cost</v>
      </c>
      <c r="M378" t="str">
        <f t="shared" si="23"/>
        <v>Good</v>
      </c>
    </row>
    <row r="379" spans="1:13" x14ac:dyDescent="0.35">
      <c r="A379" t="s">
        <v>415</v>
      </c>
      <c r="B379" t="s">
        <v>20</v>
      </c>
      <c r="C379" t="s">
        <v>28</v>
      </c>
      <c r="D379" t="s">
        <v>36</v>
      </c>
      <c r="E379" t="s">
        <v>22</v>
      </c>
      <c r="F379">
        <v>11</v>
      </c>
      <c r="G379" s="9">
        <v>437</v>
      </c>
      <c r="H379" s="10">
        <v>3</v>
      </c>
      <c r="I379" s="10">
        <v>59</v>
      </c>
      <c r="J379" t="str">
        <f t="shared" si="20"/>
        <v>0-20</v>
      </c>
      <c r="K379" t="str">
        <f t="shared" si="21"/>
        <v>Child</v>
      </c>
      <c r="L379" t="str">
        <f t="shared" si="22"/>
        <v>Low Cost</v>
      </c>
      <c r="M379" t="str">
        <f t="shared" si="23"/>
        <v>Poor</v>
      </c>
    </row>
    <row r="380" spans="1:13" x14ac:dyDescent="0.35">
      <c r="A380" t="s">
        <v>416</v>
      </c>
      <c r="B380" t="s">
        <v>49</v>
      </c>
      <c r="C380" t="s">
        <v>31</v>
      </c>
      <c r="D380" t="s">
        <v>34</v>
      </c>
      <c r="E380" t="s">
        <v>22</v>
      </c>
      <c r="F380">
        <v>27</v>
      </c>
      <c r="G380" s="9">
        <v>5268</v>
      </c>
      <c r="H380" s="10">
        <v>9</v>
      </c>
      <c r="I380" s="10">
        <v>72</v>
      </c>
      <c r="J380" t="str">
        <f t="shared" si="20"/>
        <v>21-40</v>
      </c>
      <c r="K380" t="str">
        <f t="shared" si="21"/>
        <v>Youth</v>
      </c>
      <c r="L380" t="str">
        <f t="shared" si="22"/>
        <v>Low Cost</v>
      </c>
      <c r="M380" t="str">
        <f t="shared" si="23"/>
        <v>Good</v>
      </c>
    </row>
    <row r="381" spans="1:13" x14ac:dyDescent="0.35">
      <c r="A381" t="s">
        <v>417</v>
      </c>
      <c r="B381" t="s">
        <v>30</v>
      </c>
      <c r="C381" t="s">
        <v>16</v>
      </c>
      <c r="D381" t="s">
        <v>39</v>
      </c>
      <c r="E381" t="s">
        <v>18</v>
      </c>
      <c r="F381">
        <v>58</v>
      </c>
      <c r="G381" s="9">
        <v>10225</v>
      </c>
      <c r="H381" s="10">
        <v>6</v>
      </c>
      <c r="I381" s="10">
        <v>69</v>
      </c>
      <c r="J381" t="str">
        <f t="shared" si="20"/>
        <v>41-60</v>
      </c>
      <c r="K381" t="str">
        <f t="shared" si="21"/>
        <v>Middle Age</v>
      </c>
      <c r="L381" t="str">
        <f t="shared" si="22"/>
        <v>High Cost</v>
      </c>
      <c r="M381" t="str">
        <f t="shared" si="23"/>
        <v>Good</v>
      </c>
    </row>
    <row r="382" spans="1:13" x14ac:dyDescent="0.35">
      <c r="A382" t="s">
        <v>418</v>
      </c>
      <c r="B382" t="s">
        <v>20</v>
      </c>
      <c r="C382" t="s">
        <v>16</v>
      </c>
      <c r="D382" t="s">
        <v>17</v>
      </c>
      <c r="E382" t="s">
        <v>18</v>
      </c>
      <c r="F382">
        <v>83</v>
      </c>
      <c r="G382" s="9">
        <v>6791</v>
      </c>
      <c r="H382" s="10">
        <v>15</v>
      </c>
      <c r="I382" s="10">
        <v>60</v>
      </c>
      <c r="J382" t="str">
        <f t="shared" si="20"/>
        <v>61+</v>
      </c>
      <c r="K382" t="str">
        <f t="shared" si="21"/>
        <v>Elderly</v>
      </c>
      <c r="L382" t="str">
        <f t="shared" si="22"/>
        <v>Low Cost</v>
      </c>
      <c r="M382" t="str">
        <f t="shared" si="23"/>
        <v>Good</v>
      </c>
    </row>
    <row r="383" spans="1:13" x14ac:dyDescent="0.35">
      <c r="A383" t="s">
        <v>419</v>
      </c>
      <c r="B383" t="s">
        <v>15</v>
      </c>
      <c r="C383" t="s">
        <v>45</v>
      </c>
      <c r="D383" t="s">
        <v>25</v>
      </c>
      <c r="E383" t="s">
        <v>22</v>
      </c>
      <c r="F383">
        <v>21</v>
      </c>
      <c r="G383" s="9">
        <v>3211</v>
      </c>
      <c r="H383" s="10">
        <v>5</v>
      </c>
      <c r="I383" s="10">
        <v>77</v>
      </c>
      <c r="J383" t="str">
        <f t="shared" si="20"/>
        <v>21-40</v>
      </c>
      <c r="K383" t="str">
        <f t="shared" si="21"/>
        <v>Youth</v>
      </c>
      <c r="L383" t="str">
        <f t="shared" si="22"/>
        <v>Low Cost</v>
      </c>
      <c r="M383" t="str">
        <f t="shared" si="23"/>
        <v>Good</v>
      </c>
    </row>
    <row r="384" spans="1:13" x14ac:dyDescent="0.35">
      <c r="A384" t="s">
        <v>420</v>
      </c>
      <c r="B384" t="s">
        <v>30</v>
      </c>
      <c r="C384" t="s">
        <v>45</v>
      </c>
      <c r="D384" t="s">
        <v>52</v>
      </c>
      <c r="E384" t="s">
        <v>18</v>
      </c>
      <c r="F384">
        <v>24</v>
      </c>
      <c r="G384" s="9">
        <v>4040</v>
      </c>
      <c r="H384" s="10">
        <v>4</v>
      </c>
      <c r="I384" s="10">
        <v>51</v>
      </c>
      <c r="J384" t="str">
        <f t="shared" si="20"/>
        <v>21-40</v>
      </c>
      <c r="K384" t="str">
        <f t="shared" si="21"/>
        <v>Youth</v>
      </c>
      <c r="L384" t="str">
        <f t="shared" si="22"/>
        <v>Low Cost</v>
      </c>
      <c r="M384" t="str">
        <f t="shared" si="23"/>
        <v>Poor</v>
      </c>
    </row>
    <row r="385" spans="1:13" x14ac:dyDescent="0.35">
      <c r="A385" t="s">
        <v>421</v>
      </c>
      <c r="B385" t="s">
        <v>15</v>
      </c>
      <c r="C385" t="s">
        <v>45</v>
      </c>
      <c r="D385" t="s">
        <v>39</v>
      </c>
      <c r="E385" t="s">
        <v>18</v>
      </c>
      <c r="F385">
        <v>50</v>
      </c>
      <c r="G385" s="9">
        <v>536</v>
      </c>
      <c r="H385" s="10">
        <v>2</v>
      </c>
      <c r="I385" s="10">
        <v>63</v>
      </c>
      <c r="J385" t="str">
        <f t="shared" si="20"/>
        <v>41-60</v>
      </c>
      <c r="K385" t="str">
        <f t="shared" si="21"/>
        <v>Middle Age</v>
      </c>
      <c r="L385" t="str">
        <f t="shared" si="22"/>
        <v>Low Cost</v>
      </c>
      <c r="M385" t="str">
        <f t="shared" si="23"/>
        <v>Good</v>
      </c>
    </row>
    <row r="386" spans="1:13" x14ac:dyDescent="0.35">
      <c r="A386" t="s">
        <v>422</v>
      </c>
      <c r="B386" t="s">
        <v>49</v>
      </c>
      <c r="C386" t="s">
        <v>16</v>
      </c>
      <c r="D386" t="s">
        <v>21</v>
      </c>
      <c r="E386" t="s">
        <v>22</v>
      </c>
      <c r="F386">
        <v>69</v>
      </c>
      <c r="G386" s="9">
        <v>8063</v>
      </c>
      <c r="H386" s="10">
        <v>10</v>
      </c>
      <c r="I386" s="10">
        <v>70</v>
      </c>
      <c r="J386" t="str">
        <f t="shared" ref="J386:J401" si="24">IF(F386&lt;=20,"0-20",IF(F386&lt;=40,"21-40",IF(F386&lt;=60,"41-60","61+")))</f>
        <v>61+</v>
      </c>
      <c r="K386" t="str">
        <f t="shared" ref="K386:K401" si="25">IF(F386&lt;=5,"Infant",IF(F386&lt;=12,"Child",IF(F386&lt;=19,"Teenager",IF(F386&lt;=29,"Youth",IF(F386&lt;=44,"Adult",IF(F386&lt;=60,"Middle Age",IF(F386&gt;60,"Elderly")))))))</f>
        <v>Elderly</v>
      </c>
      <c r="L386" t="str">
        <f t="shared" ref="L386:L401" si="26">IF(G386&gt;=7500,"High Cost","Low Cost")</f>
        <v>High Cost</v>
      </c>
      <c r="M386" t="str">
        <f t="shared" ref="M386:M401" si="27">IF(I386&gt;=80,"Excellent",IF(I386&gt;=60,"Good","Poor"))</f>
        <v>Good</v>
      </c>
    </row>
    <row r="387" spans="1:13" x14ac:dyDescent="0.35">
      <c r="A387" t="s">
        <v>423</v>
      </c>
      <c r="B387" t="s">
        <v>27</v>
      </c>
      <c r="C387" t="s">
        <v>28</v>
      </c>
      <c r="D387" t="s">
        <v>36</v>
      </c>
      <c r="E387" t="s">
        <v>22</v>
      </c>
      <c r="F387">
        <v>63</v>
      </c>
      <c r="G387" s="9">
        <v>1280</v>
      </c>
      <c r="H387" s="10">
        <v>3</v>
      </c>
      <c r="I387" s="10">
        <v>70</v>
      </c>
      <c r="J387" t="str">
        <f t="shared" si="24"/>
        <v>61+</v>
      </c>
      <c r="K387" t="str">
        <f t="shared" si="25"/>
        <v>Elderly</v>
      </c>
      <c r="L387" t="str">
        <f t="shared" si="26"/>
        <v>Low Cost</v>
      </c>
      <c r="M387" t="str">
        <f t="shared" si="27"/>
        <v>Good</v>
      </c>
    </row>
    <row r="388" spans="1:13" x14ac:dyDescent="0.35">
      <c r="A388" t="s">
        <v>424</v>
      </c>
      <c r="B388" t="s">
        <v>24</v>
      </c>
      <c r="C388" t="s">
        <v>28</v>
      </c>
      <c r="D388" t="s">
        <v>21</v>
      </c>
      <c r="E388" t="s">
        <v>22</v>
      </c>
      <c r="F388">
        <v>15</v>
      </c>
      <c r="G388" s="9">
        <v>912</v>
      </c>
      <c r="H388" s="10">
        <v>2</v>
      </c>
      <c r="I388" s="10">
        <v>79</v>
      </c>
      <c r="J388" t="str">
        <f t="shared" si="24"/>
        <v>0-20</v>
      </c>
      <c r="K388" t="str">
        <f t="shared" si="25"/>
        <v>Teenager</v>
      </c>
      <c r="L388" t="str">
        <f t="shared" si="26"/>
        <v>Low Cost</v>
      </c>
      <c r="M388" t="str">
        <f t="shared" si="27"/>
        <v>Good</v>
      </c>
    </row>
    <row r="389" spans="1:13" x14ac:dyDescent="0.35">
      <c r="A389" t="s">
        <v>425</v>
      </c>
      <c r="B389" t="s">
        <v>24</v>
      </c>
      <c r="C389" t="s">
        <v>45</v>
      </c>
      <c r="D389" t="s">
        <v>32</v>
      </c>
      <c r="E389" t="s">
        <v>18</v>
      </c>
      <c r="F389">
        <v>76</v>
      </c>
      <c r="G389" s="9">
        <v>1194</v>
      </c>
      <c r="H389" s="10">
        <v>2</v>
      </c>
      <c r="I389" s="10">
        <v>70</v>
      </c>
      <c r="J389" t="str">
        <f t="shared" si="24"/>
        <v>61+</v>
      </c>
      <c r="K389" t="str">
        <f t="shared" si="25"/>
        <v>Elderly</v>
      </c>
      <c r="L389" t="str">
        <f t="shared" si="26"/>
        <v>Low Cost</v>
      </c>
      <c r="M389" t="str">
        <f t="shared" si="27"/>
        <v>Good</v>
      </c>
    </row>
    <row r="390" spans="1:13" x14ac:dyDescent="0.35">
      <c r="A390" t="s">
        <v>426</v>
      </c>
      <c r="B390" t="s">
        <v>20</v>
      </c>
      <c r="C390" t="s">
        <v>45</v>
      </c>
      <c r="D390" t="s">
        <v>32</v>
      </c>
      <c r="E390" t="s">
        <v>22</v>
      </c>
      <c r="F390">
        <v>48</v>
      </c>
      <c r="G390" s="9">
        <v>1658</v>
      </c>
      <c r="H390" s="10">
        <v>5</v>
      </c>
      <c r="I390" s="10">
        <v>74</v>
      </c>
      <c r="J390" t="str">
        <f t="shared" si="24"/>
        <v>41-60</v>
      </c>
      <c r="K390" t="str">
        <f t="shared" si="25"/>
        <v>Middle Age</v>
      </c>
      <c r="L390" t="str">
        <f t="shared" si="26"/>
        <v>Low Cost</v>
      </c>
      <c r="M390" t="str">
        <f t="shared" si="27"/>
        <v>Good</v>
      </c>
    </row>
    <row r="391" spans="1:13" x14ac:dyDescent="0.35">
      <c r="A391" t="s">
        <v>427</v>
      </c>
      <c r="B391" t="s">
        <v>30</v>
      </c>
      <c r="C391" t="s">
        <v>45</v>
      </c>
      <c r="D391" t="s">
        <v>21</v>
      </c>
      <c r="E391" t="s">
        <v>22</v>
      </c>
      <c r="F391">
        <v>24</v>
      </c>
      <c r="G391" s="9">
        <v>4486</v>
      </c>
      <c r="H391" s="10">
        <v>5</v>
      </c>
      <c r="I391" s="10">
        <v>94</v>
      </c>
      <c r="J391" t="str">
        <f t="shared" si="24"/>
        <v>21-40</v>
      </c>
      <c r="K391" t="str">
        <f t="shared" si="25"/>
        <v>Youth</v>
      </c>
      <c r="L391" t="str">
        <f t="shared" si="26"/>
        <v>Low Cost</v>
      </c>
      <c r="M391" t="str">
        <f t="shared" si="27"/>
        <v>Excellent</v>
      </c>
    </row>
    <row r="392" spans="1:13" x14ac:dyDescent="0.35">
      <c r="A392" t="s">
        <v>428</v>
      </c>
      <c r="B392" t="s">
        <v>15</v>
      </c>
      <c r="C392" t="s">
        <v>45</v>
      </c>
      <c r="D392" t="s">
        <v>25</v>
      </c>
      <c r="E392" t="s">
        <v>22</v>
      </c>
      <c r="F392">
        <v>37</v>
      </c>
      <c r="G392" s="9">
        <v>1649</v>
      </c>
      <c r="H392" s="10">
        <v>2</v>
      </c>
      <c r="I392" s="10">
        <v>70</v>
      </c>
      <c r="J392" t="str">
        <f t="shared" si="24"/>
        <v>21-40</v>
      </c>
      <c r="K392" t="str">
        <f t="shared" si="25"/>
        <v>Adult</v>
      </c>
      <c r="L392" t="str">
        <f t="shared" si="26"/>
        <v>Low Cost</v>
      </c>
      <c r="M392" t="str">
        <f t="shared" si="27"/>
        <v>Good</v>
      </c>
    </row>
    <row r="393" spans="1:13" x14ac:dyDescent="0.35">
      <c r="A393" t="s">
        <v>429</v>
      </c>
      <c r="B393" t="s">
        <v>54</v>
      </c>
      <c r="C393" t="s">
        <v>28</v>
      </c>
      <c r="D393" t="s">
        <v>21</v>
      </c>
      <c r="E393" t="s">
        <v>22</v>
      </c>
      <c r="F393">
        <v>46</v>
      </c>
      <c r="G393" s="9">
        <v>219</v>
      </c>
      <c r="H393" s="10">
        <v>2</v>
      </c>
      <c r="I393" s="10">
        <v>58</v>
      </c>
      <c r="J393" t="str">
        <f t="shared" si="24"/>
        <v>41-60</v>
      </c>
      <c r="K393" t="str">
        <f t="shared" si="25"/>
        <v>Middle Age</v>
      </c>
      <c r="L393" t="str">
        <f t="shared" si="26"/>
        <v>Low Cost</v>
      </c>
      <c r="M393" t="str">
        <f t="shared" si="27"/>
        <v>Poor</v>
      </c>
    </row>
    <row r="394" spans="1:13" x14ac:dyDescent="0.35">
      <c r="A394" t="s">
        <v>430</v>
      </c>
      <c r="B394" t="s">
        <v>27</v>
      </c>
      <c r="C394" t="s">
        <v>28</v>
      </c>
      <c r="D394" t="s">
        <v>25</v>
      </c>
      <c r="E394" t="s">
        <v>18</v>
      </c>
      <c r="F394">
        <v>64</v>
      </c>
      <c r="G394" s="9">
        <v>1037</v>
      </c>
      <c r="H394" s="10">
        <v>3</v>
      </c>
      <c r="I394" s="10">
        <v>81</v>
      </c>
      <c r="J394" t="str">
        <f t="shared" si="24"/>
        <v>61+</v>
      </c>
      <c r="K394" t="str">
        <f t="shared" si="25"/>
        <v>Elderly</v>
      </c>
      <c r="L394" t="str">
        <f t="shared" si="26"/>
        <v>Low Cost</v>
      </c>
      <c r="M394" t="str">
        <f t="shared" si="27"/>
        <v>Excellent</v>
      </c>
    </row>
    <row r="395" spans="1:13" x14ac:dyDescent="0.35">
      <c r="A395" t="s">
        <v>431</v>
      </c>
      <c r="B395" t="s">
        <v>30</v>
      </c>
      <c r="C395" t="s">
        <v>28</v>
      </c>
      <c r="D395" t="s">
        <v>39</v>
      </c>
      <c r="E395" t="s">
        <v>22</v>
      </c>
      <c r="F395">
        <v>73</v>
      </c>
      <c r="G395" s="9">
        <v>263</v>
      </c>
      <c r="H395" s="10">
        <v>1</v>
      </c>
      <c r="I395" s="10">
        <v>68</v>
      </c>
      <c r="J395" t="str">
        <f t="shared" si="24"/>
        <v>61+</v>
      </c>
      <c r="K395" t="str">
        <f t="shared" si="25"/>
        <v>Elderly</v>
      </c>
      <c r="L395" t="str">
        <f t="shared" si="26"/>
        <v>Low Cost</v>
      </c>
      <c r="M395" t="str">
        <f t="shared" si="27"/>
        <v>Good</v>
      </c>
    </row>
    <row r="396" spans="1:13" x14ac:dyDescent="0.35">
      <c r="A396" t="s">
        <v>432</v>
      </c>
      <c r="B396" t="s">
        <v>20</v>
      </c>
      <c r="C396" t="s">
        <v>31</v>
      </c>
      <c r="D396" t="s">
        <v>65</v>
      </c>
      <c r="E396" t="s">
        <v>18</v>
      </c>
      <c r="F396">
        <v>22</v>
      </c>
      <c r="G396" s="9">
        <v>4746</v>
      </c>
      <c r="H396" s="10">
        <v>9</v>
      </c>
      <c r="I396" s="10">
        <v>85</v>
      </c>
      <c r="J396" t="str">
        <f t="shared" si="24"/>
        <v>21-40</v>
      </c>
      <c r="K396" t="str">
        <f t="shared" si="25"/>
        <v>Youth</v>
      </c>
      <c r="L396" t="str">
        <f t="shared" si="26"/>
        <v>Low Cost</v>
      </c>
      <c r="M396" t="str">
        <f t="shared" si="27"/>
        <v>Excellent</v>
      </c>
    </row>
    <row r="397" spans="1:13" x14ac:dyDescent="0.35">
      <c r="A397" t="s">
        <v>433</v>
      </c>
      <c r="B397" t="s">
        <v>24</v>
      </c>
      <c r="C397" t="s">
        <v>16</v>
      </c>
      <c r="D397" t="s">
        <v>21</v>
      </c>
      <c r="E397" t="s">
        <v>22</v>
      </c>
      <c r="F397">
        <v>70</v>
      </c>
      <c r="G397" s="9">
        <v>18488</v>
      </c>
      <c r="H397" s="10">
        <v>10</v>
      </c>
      <c r="I397" s="10">
        <v>84</v>
      </c>
      <c r="J397" t="str">
        <f t="shared" si="24"/>
        <v>61+</v>
      </c>
      <c r="K397" t="str">
        <f t="shared" si="25"/>
        <v>Elderly</v>
      </c>
      <c r="L397" t="str">
        <f t="shared" si="26"/>
        <v>High Cost</v>
      </c>
      <c r="M397" t="str">
        <f t="shared" si="27"/>
        <v>Excellent</v>
      </c>
    </row>
    <row r="398" spans="1:13" x14ac:dyDescent="0.35">
      <c r="A398" t="s">
        <v>434</v>
      </c>
      <c r="B398" t="s">
        <v>54</v>
      </c>
      <c r="C398" t="s">
        <v>16</v>
      </c>
      <c r="D398" t="s">
        <v>39</v>
      </c>
      <c r="E398" t="s">
        <v>18</v>
      </c>
      <c r="F398">
        <v>55</v>
      </c>
      <c r="G398" s="9">
        <v>6677</v>
      </c>
      <c r="H398" s="10">
        <v>15</v>
      </c>
      <c r="I398" s="10">
        <v>98</v>
      </c>
      <c r="J398" t="str">
        <f t="shared" si="24"/>
        <v>41-60</v>
      </c>
      <c r="K398" t="str">
        <f t="shared" si="25"/>
        <v>Middle Age</v>
      </c>
      <c r="L398" t="str">
        <f t="shared" si="26"/>
        <v>Low Cost</v>
      </c>
      <c r="M398" t="str">
        <f t="shared" si="27"/>
        <v>Excellent</v>
      </c>
    </row>
    <row r="399" spans="1:13" x14ac:dyDescent="0.35">
      <c r="A399" t="s">
        <v>435</v>
      </c>
      <c r="B399" t="s">
        <v>27</v>
      </c>
      <c r="C399" t="s">
        <v>31</v>
      </c>
      <c r="D399" t="s">
        <v>17</v>
      </c>
      <c r="E399" t="s">
        <v>22</v>
      </c>
      <c r="F399">
        <v>45</v>
      </c>
      <c r="G399" s="9">
        <v>1712</v>
      </c>
      <c r="H399" s="10">
        <v>9</v>
      </c>
      <c r="I399" s="10">
        <v>57</v>
      </c>
      <c r="J399" t="str">
        <f t="shared" si="24"/>
        <v>41-60</v>
      </c>
      <c r="K399" t="str">
        <f t="shared" si="25"/>
        <v>Middle Age</v>
      </c>
      <c r="L399" t="str">
        <f t="shared" si="26"/>
        <v>Low Cost</v>
      </c>
      <c r="M399" t="str">
        <f t="shared" si="27"/>
        <v>Poor</v>
      </c>
    </row>
    <row r="400" spans="1:13" x14ac:dyDescent="0.35">
      <c r="A400" t="s">
        <v>436</v>
      </c>
      <c r="B400" t="s">
        <v>54</v>
      </c>
      <c r="C400" t="s">
        <v>45</v>
      </c>
      <c r="D400" t="s">
        <v>65</v>
      </c>
      <c r="E400" t="s">
        <v>18</v>
      </c>
      <c r="F400">
        <v>76</v>
      </c>
      <c r="G400" s="9">
        <v>3372</v>
      </c>
      <c r="H400" s="10">
        <v>5</v>
      </c>
      <c r="I400" s="10">
        <v>90</v>
      </c>
      <c r="J400" t="str">
        <f t="shared" si="24"/>
        <v>61+</v>
      </c>
      <c r="K400" t="str">
        <f t="shared" si="25"/>
        <v>Elderly</v>
      </c>
      <c r="L400" t="str">
        <f t="shared" si="26"/>
        <v>Low Cost</v>
      </c>
      <c r="M400" t="str">
        <f t="shared" si="27"/>
        <v>Excellent</v>
      </c>
    </row>
    <row r="401" spans="1:13" x14ac:dyDescent="0.35">
      <c r="A401" t="s">
        <v>437</v>
      </c>
      <c r="B401" t="s">
        <v>30</v>
      </c>
      <c r="C401" t="s">
        <v>45</v>
      </c>
      <c r="D401" t="s">
        <v>21</v>
      </c>
      <c r="E401" t="s">
        <v>22</v>
      </c>
      <c r="F401">
        <v>27</v>
      </c>
      <c r="G401" s="9">
        <v>2195</v>
      </c>
      <c r="H401" s="10">
        <v>1</v>
      </c>
      <c r="I401" s="10">
        <v>86</v>
      </c>
      <c r="J401" t="str">
        <f t="shared" si="24"/>
        <v>21-40</v>
      </c>
      <c r="K401" t="str">
        <f t="shared" si="25"/>
        <v>Youth</v>
      </c>
      <c r="L401" t="str">
        <f t="shared" si="26"/>
        <v>Low Cost</v>
      </c>
      <c r="M401" t="str">
        <f t="shared" si="27"/>
        <v>Excellent</v>
      </c>
    </row>
  </sheetData>
  <pageMargins left="0.75" right="0.75" top="1" bottom="1" header="0.5" footer="0.5"/>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32FFB-C552-4C20-AECA-CDFB48A33962}">
  <dimension ref="B5:V22"/>
  <sheetViews>
    <sheetView showGridLines="0" tabSelected="1" zoomScale="62" zoomScaleNormal="62" workbookViewId="0">
      <selection activeCell="X4" sqref="X4:X5"/>
    </sheetView>
  </sheetViews>
  <sheetFormatPr defaultRowHeight="14.5" x14ac:dyDescent="0.35"/>
  <cols>
    <col min="1" max="16384" width="8.7265625" style="1"/>
  </cols>
  <sheetData>
    <row r="5" spans="2:7" ht="15.5" x14ac:dyDescent="0.35">
      <c r="E5" s="2"/>
      <c r="F5" s="3"/>
      <c r="G5" s="3"/>
    </row>
    <row r="6" spans="2:7" x14ac:dyDescent="0.35">
      <c r="B6" s="4"/>
    </row>
    <row r="9" spans="2:7" ht="15.5" x14ac:dyDescent="0.35">
      <c r="B9" s="5"/>
      <c r="C9" s="5"/>
    </row>
    <row r="22" spans="22:22" x14ac:dyDescent="0.35">
      <c r="V22" s="1" t="s">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Hospital_Data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Wale Lanade</dc:creator>
  <cp:lastModifiedBy>Wale Lanade</cp:lastModifiedBy>
  <dcterms:created xsi:type="dcterms:W3CDTF">2026-04-17T15:59:54Z</dcterms:created>
  <dcterms:modified xsi:type="dcterms:W3CDTF">2026-04-17T16:28:51Z</dcterms:modified>
</cp:coreProperties>
</file>